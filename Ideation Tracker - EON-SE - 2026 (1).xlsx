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hclo365.sharepoint.com/sites/STOforFSEMEAGM2Mobility/Shared Documents/STO for FS EMEA _GM2_Mobility/STO Kickoff/AI Value Discovery Series/"/>
    </mc:Choice>
  </mc:AlternateContent>
  <xr:revisionPtr revIDLastSave="5" documentId="8_{16C7E2B1-82F4-459C-B115-53E5B5320365}" xr6:coauthVersionLast="47" xr6:coauthVersionMax="47" xr10:uidLastSave="{AB4F5814-1F82-4773-B839-2BFB0F90D723}"/>
  <bookViews>
    <workbookView xWindow="-110" yWindow="-110" windowWidth="19420" windowHeight="10300" xr2:uid="{B44D68CF-67DA-4B59-A3E5-24EF1B5D9A8C}"/>
  </bookViews>
  <sheets>
    <sheet name="Sheet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6" i="1" l="1"/>
  <c r="R25" i="1"/>
  <c r="R23" i="1"/>
  <c r="R22" i="1"/>
  <c r="R20" i="1"/>
  <c r="R19" i="1"/>
  <c r="R15" i="1"/>
  <c r="R17" i="1"/>
  <c r="R14" i="1"/>
  <c r="R13" i="1"/>
  <c r="R12" i="1"/>
  <c r="T12" i="1" s="1"/>
  <c r="R11" i="1"/>
  <c r="R46" i="1"/>
  <c r="T46" i="1" s="1"/>
  <c r="R41" i="1"/>
  <c r="T41" i="1" s="1"/>
  <c r="R37" i="1"/>
  <c r="T37" i="1" s="1"/>
  <c r="R32" i="1"/>
  <c r="T32" i="1" s="1"/>
  <c r="R3" i="1"/>
  <c r="T3" i="1" s="1"/>
  <c r="Q6" i="1"/>
  <c r="T6" i="1" s="1"/>
  <c r="T2" i="1"/>
  <c r="T4" i="1"/>
  <c r="T5" i="1"/>
  <c r="T7" i="1"/>
  <c r="T8" i="1"/>
  <c r="T9" i="1"/>
  <c r="T10" i="1"/>
  <c r="T11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3" i="1"/>
  <c r="T34" i="1"/>
  <c r="T35" i="1"/>
  <c r="T36" i="1"/>
  <c r="T38" i="1"/>
  <c r="T39" i="1"/>
  <c r="T40" i="1"/>
  <c r="T42" i="1"/>
  <c r="T43" i="1"/>
  <c r="T44" i="1"/>
  <c r="T45" i="1"/>
</calcChain>
</file>

<file path=xl/sharedStrings.xml><?xml version="1.0" encoding="utf-8"?>
<sst xmlns="http://schemas.openxmlformats.org/spreadsheetml/2006/main" count="737" uniqueCount="442">
  <si>
    <t>Idea ID</t>
  </si>
  <si>
    <t>Theme</t>
  </si>
  <si>
    <t>Idea By</t>
  </si>
  <si>
    <t>Owner Team</t>
  </si>
  <si>
    <t>Idea Title</t>
  </si>
  <si>
    <t>Pain / Opportunity</t>
  </si>
  <si>
    <t>Problem Statement</t>
  </si>
  <si>
    <t>Solution Summary</t>
  </si>
  <si>
    <t>Business Value</t>
  </si>
  <si>
    <t>Impact</t>
  </si>
  <si>
    <t>Effort</t>
  </si>
  <si>
    <t>Feasibility</t>
  </si>
  <si>
    <t>Teams Involved</t>
  </si>
  <si>
    <t>Status</t>
  </si>
  <si>
    <t>Next Steps</t>
  </si>
  <si>
    <t>Remarks</t>
  </si>
  <si>
    <t>How much time does it take today ( in hours)
 A</t>
  </si>
  <si>
    <t>how many times per day
B</t>
  </si>
  <si>
    <t>How much reduction do you expect the solution to give?
C</t>
  </si>
  <si>
    <t>Effort Bank= A*B*C</t>
  </si>
  <si>
    <t>Next Step</t>
  </si>
  <si>
    <t>Column1</t>
  </si>
  <si>
    <t>AI-SF-01</t>
  </si>
  <si>
    <t>Service Transformation</t>
  </si>
  <si>
    <t>Piyush</t>
  </si>
  <si>
    <t>Telesales</t>
  </si>
  <si>
    <t>Order Status Correction &amp; Retrigger Agent</t>
  </si>
  <si>
    <t>P</t>
  </si>
  <si>
    <t>Failed or unsuccessful orders require manual correction and retriggering, causing delays and operational overhead.</t>
  </si>
  <si>
    <t>An AI agent verifies order data, auto-corrects issues, and retriggers failed orders to completion.</t>
  </si>
  <si>
    <t>Reduced manual effort, faster order completion, improved customer satisfaction.</t>
  </si>
  <si>
    <t>High</t>
  </si>
  <si>
    <t>M</t>
  </si>
  <si>
    <t>Medium</t>
  </si>
  <si>
    <t>Telesales, Salesforce</t>
  </si>
  <si>
    <t>Ideation</t>
  </si>
  <si>
    <t>Validate Agentforce capabilities for data correction</t>
  </si>
  <si>
    <t>Needs evaluation of auto-correction accuracy</t>
  </si>
  <si>
    <t>Park</t>
  </si>
  <si>
    <t>AI-SF-02</t>
  </si>
  <si>
    <t>Business Value Transformation</t>
  </si>
  <si>
    <t>Vipin, Piyush</t>
  </si>
  <si>
    <t>Sales</t>
  </si>
  <si>
    <t>AI Sales Agent (Voice-enabled)</t>
  </si>
  <si>
    <t>O</t>
  </si>
  <si>
    <t>Human sales agents are required for repetitive customer interactions and data collection.</t>
  </si>
  <si>
    <t>An AI agent connects with customers over calls, gathers required information, completes the process, and escalates to humans when needed.</t>
  </si>
  <si>
    <t>Cost optimization, scalability, faster customer handling.</t>
  </si>
  <si>
    <t>H</t>
  </si>
  <si>
    <t>Sales, Contact Center, Salesforce</t>
  </si>
  <si>
    <t>Assess voice AI and call integration feasibility</t>
  </si>
  <si>
    <t>Human handoff is critical</t>
  </si>
  <si>
    <t>Priority 1</t>
  </si>
  <si>
    <t>AI-SF-03</t>
  </si>
  <si>
    <t>Productivity Improvement</t>
  </si>
  <si>
    <t>Ram</t>
  </si>
  <si>
    <t>IT Operations</t>
  </si>
  <si>
    <t>Debug Log Analyzer for Incident RCA</t>
  </si>
  <si>
    <t>Manual analysis of debug logs for incident RCA is time-consuming and error-prone.</t>
  </si>
  <si>
    <t>AI agent summarizes consolidated logs and identifies probable errors automatically.</t>
  </si>
  <si>
    <t>Faster RCA, reduced downtime, improved incident response.</t>
  </si>
  <si>
    <t>IT Ops, Dev, Salesforce</t>
  </si>
  <si>
    <t>Train model using historical logs</t>
  </si>
  <si>
    <t>High value for L2/L3 teams</t>
  </si>
  <si>
    <t>AI-SF-04</t>
  </si>
  <si>
    <t>Vipin</t>
  </si>
  <si>
    <t>HR</t>
  </si>
  <si>
    <t>Appraisal Letter Release Assistant</t>
  </si>
  <si>
    <t>Appraisal letter release is delayed and struggles to complete within expected timelines.</t>
  </si>
  <si>
    <t>AI assistant supports HR and management to speed up appraisal letter generation and release.</t>
  </si>
  <si>
    <t>Faster HR cycles, improved employee experience.</t>
  </si>
  <si>
    <t>L</t>
  </si>
  <si>
    <t>HR, IT</t>
  </si>
  <si>
    <t>Map HR portal workflow</t>
  </si>
  <si>
    <t>Needs org policy alignment</t>
  </si>
  <si>
    <t>AI-SF-05</t>
  </si>
  <si>
    <t>Revenue Enablement</t>
  </si>
  <si>
    <t>Next-Best-Action for Sales Agent</t>
  </si>
  <si>
    <t>Sales teams lack intelligent recommendations for cross-sell or upsell during active deals.</t>
  </si>
  <si>
    <t>Agent analyzes customer profile, history, and behavior to suggest next-best products.</t>
  </si>
  <si>
    <t>Increased revenue, better deal conversion.</t>
  </si>
  <si>
    <t>Sales, Salesforce</t>
  </si>
  <si>
    <t>Define recommendation logic</t>
  </si>
  <si>
    <t>Strong dependency on data quality</t>
  </si>
  <si>
    <t>Priority 2 for 40% conversion.</t>
  </si>
  <si>
    <t>AI-SF-06</t>
  </si>
  <si>
    <t>Ismail, Ram</t>
  </si>
  <si>
    <t>Service</t>
  </si>
  <si>
    <t>Case-to-Knowledge &amp; Next-Best-Action Agent</t>
  </si>
  <si>
    <t>Service agents struggle to quickly resolve cases due to scattered knowledge and lack of guidance.</t>
  </si>
  <si>
    <t>Agent converts cases into knowledge articles and suggests next-best actions for faster resolution.</t>
  </si>
  <si>
    <t>Reduced resolution time, consistent support quality.</t>
  </si>
  <si>
    <t>Service, Knowledge Mgmt</t>
  </si>
  <si>
    <t>Identify KB sources</t>
  </si>
  <si>
    <t>Scales well across service teams</t>
  </si>
  <si>
    <t>AI-SF-07</t>
  </si>
  <si>
    <t>Product Management</t>
  </si>
  <si>
    <t>Product Matching &amp; Scoring Agent</t>
  </si>
  <si>
    <t>Searching matching products across ~150 characteristics is complex and slow.</t>
  </si>
  <si>
    <t>AI agent searches and scores matching products using configuration data via 3rd-party GCP system.</t>
  </si>
  <si>
    <t>Faster product onboarding, better accuracy.</t>
  </si>
  <si>
    <t>Product, Salesforce, MuleSoft</t>
  </si>
  <si>
    <t>Validate GCP &amp; MuleSoft integration</t>
  </si>
  <si>
    <t>Data volume is a concern</t>
  </si>
  <si>
    <t>AI-SF-08</t>
  </si>
  <si>
    <t>Product Catalog</t>
  </si>
  <si>
    <t>Product Expiry &amp; Renewal Recommendation Agent</t>
  </si>
  <si>
    <t>Customers are unaware of expiring products and miss renewal opportunities.</t>
  </si>
  <si>
    <t>Agent identifies expiring products and recommends timely renewals to customers.</t>
  </si>
  <si>
    <t>Increased renewals, reduced churn.</t>
  </si>
  <si>
    <t>Product, Sales, Salesforce</t>
  </si>
  <si>
    <t>Define expiry thresholds</t>
  </si>
  <si>
    <t>Can be automated end-to-end</t>
  </si>
  <si>
    <t>AI-SF-09</t>
  </si>
  <si>
    <t>Automated Product Onboarding Agent</t>
  </si>
  <si>
    <t>Manual Excel uploads for product onboarding into Salesforce are inefficient and error-prone.</t>
  </si>
  <si>
    <t>Agent automates ingestion from external sources to Salesforce without manual Excel handling.</t>
  </si>
  <si>
    <t>Faster onboarding, reduced errors.</t>
  </si>
  <si>
    <t>Product, Salesforce</t>
  </si>
  <si>
    <t>Map external data formats</t>
  </si>
  <si>
    <t>Non-AI but high ROI</t>
  </si>
  <si>
    <t>AI-FT-01</t>
  </si>
  <si>
    <t>Quality Engineering</t>
  </si>
  <si>
    <t>Shoubhik</t>
  </si>
  <si>
    <t>Loyalty HUB</t>
  </si>
  <si>
    <t>Exploratory Testing Recommendation Agent</t>
  </si>
  <si>
    <t>Static test cases limit coverage and testers struggle to identify next best scenarios, edge cases, and risk areas during exploratory testing.</t>
  </si>
  <si>
    <t>An AI agent that learns from what has already been tested and dynamically suggests new scenarios, edge cases, and high‑risk areas to test next.</t>
  </si>
  <si>
    <t>Improved test coverage, reduced defect leakage, better tester productivity.</t>
  </si>
  <si>
    <t>QA, Loyalty HUB</t>
  </si>
  <si>
    <t>Create a POC using sample test execution inputs</t>
  </si>
  <si>
    <t>For individual User story testing-heavy releases</t>
  </si>
  <si>
    <t>Priority2</t>
  </si>
  <si>
    <t>AI-FT-02</t>
  </si>
  <si>
    <t>DevOps / Deployment Stability</t>
  </si>
  <si>
    <t>Mounika</t>
  </si>
  <si>
    <t>SF Service Process</t>
  </si>
  <si>
    <t>Intelligent Code Deployment Guard Agent</t>
  </si>
  <si>
    <t>Frequent code deployment failures lead to rollbacks, wasted effort, and long investigation cycles to identify problematic changes.</t>
  </si>
  <si>
    <t>An agent that validates merges, detects risky changes, and isolates deployment impact so failures do not affect other deployments.</t>
  </si>
  <si>
    <t>Faster deployments, reduced rollbacks, improved release confidence.</t>
  </si>
  <si>
    <t>DevOps, SF Dev Team</t>
  </si>
  <si>
    <t>Analyze historical deployment failures and define guard rules</t>
  </si>
  <si>
    <t>Needs strong CI/CD integration</t>
  </si>
  <si>
    <t>AI-FT-03</t>
  </si>
  <si>
    <t>Test Data Management</t>
  </si>
  <si>
    <t>Abhishek Sombhotla SSBB</t>
  </si>
  <si>
    <t>Attribute-based Test Data Search Agent</t>
  </si>
  <si>
    <t>Testers spend excessive time searching or creating valid test data for specific contract states and attributes.</t>
  </si>
  <si>
    <t>A search/automation agent that fetches or generates test data based on contract attributes such as delivery status, cancellation, flex-ready, and age.</t>
  </si>
  <si>
    <t>Faster testing cycles, reduced dependency on manual data creation.</t>
  </si>
  <si>
    <t>QA, Telesales</t>
  </si>
  <si>
    <t>Identify data sources and define attribute filters</t>
  </si>
  <si>
    <t>Can be reused across teams</t>
  </si>
  <si>
    <t>Priority1</t>
  </si>
  <si>
    <t>AI-FT-04</t>
  </si>
  <si>
    <t>Test Data Enablement</t>
  </si>
  <si>
    <t>Anand</t>
  </si>
  <si>
    <t>Loyalty HUB / Central Order Hub</t>
  </si>
  <si>
    <t>Squad-specific Test Data Prompt Agent</t>
  </si>
  <si>
    <t>Teams need precise test data for specific business flows, but defining requirements repeatedly is inefficient.</t>
  </si>
  <si>
    <t>An agent that provides ready-made prompts for generating test data for Payback, Move Flow, and Bundling scenarios with defined constraints.</t>
  </si>
  <si>
    <t>Consistent test data, faster scenario validation, reduced rework.</t>
  </si>
  <si>
    <t>L–M</t>
  </si>
  <si>
    <t>QA, Loyalty HUB, Order Hub</t>
  </si>
  <si>
    <t>Agentic Prompt</t>
  </si>
  <si>
    <t>Standardize prompts and align with data providers</t>
  </si>
  <si>
    <t>Good candidate for prompt library</t>
  </si>
  <si>
    <t>Priority3</t>
  </si>
  <si>
    <t>Defect Management Automation</t>
  </si>
  <si>
    <t>Abhishek Gola</t>
  </si>
  <si>
    <t>Automation</t>
  </si>
  <si>
    <t>JIRA MCP Server Integration</t>
  </si>
  <si>
    <t>Defect reports are fetched manually and defects are logged manually by analyzing failures across multiple folders, consuming time and effort.</t>
  </si>
  <si>
    <t>Integrate JIRA MCP Server to automatically fetch reports and log defects by identifying failures across folders.</t>
  </si>
  <si>
    <t>Reduced manual effort, faster defect logging, improved productivity.</t>
  </si>
  <si>
    <t>Automation, QA</t>
  </si>
  <si>
    <t>New</t>
  </si>
  <si>
    <t>Build POC for JIRA MCP integration</t>
  </si>
  <si>
    <t>Monitoring &amp; Observability</t>
  </si>
  <si>
    <t>DataDog Server Monitoring</t>
  </si>
  <si>
    <t>Performance, latency, security, IP tracking, and user tracking are not centrally monitored, leading to delayed issue detection.</t>
  </si>
  <si>
    <t>Use DataDog for centralized performance testing, monitoring, security, IP tracking, and user analytics.</t>
  </si>
  <si>
    <t>Early issue detection, improved system stability and security.</t>
  </si>
  <si>
    <t>Automation, DevOps</t>
  </si>
  <si>
    <t>Assess DataDog integration feasibility</t>
  </si>
  <si>
    <t>Flow Reliability</t>
  </si>
  <si>
    <t>Nilesh Laxman Ghatkar</t>
  </si>
  <si>
    <t>Flow Status Update in Asset</t>
  </si>
  <si>
    <t>Salesforce queries fetching used contracts break the flow at the final stage, causing failures.</t>
  </si>
  <si>
    <t>Improve flow logic to handle Salesforce contract queries without breaking end‑to‑end flow.</t>
  </si>
  <si>
    <t>Improved process stability and reduced flow failures.</t>
  </si>
  <si>
    <t>Low</t>
  </si>
  <si>
    <t>Automation, Salesforce</t>
  </si>
  <si>
    <t>Analyze Salesforce query dependency</t>
  </si>
  <si>
    <t>Agentic AI – Testing</t>
  </si>
  <si>
    <t>Sourav Das</t>
  </si>
  <si>
    <t>Autonomous API Test Generation from Traffic</t>
  </si>
  <si>
    <t>API tests are created manually and may miss scenarios due to lack of visibility into real traffic.</t>
  </si>
  <si>
    <t>Agent observes browser traffic, discovers APIs, understands request/response, and auto‑generates API test scenarios.</t>
  </si>
  <si>
    <t>Higher API test coverage, reduced manual test creation, improved reliability.</t>
  </si>
  <si>
    <t>Create traffic‑based test discovery POC</t>
  </si>
  <si>
    <t>Documentation Automation</t>
  </si>
  <si>
    <t>Debasmita Basu</t>
  </si>
  <si>
    <t>Technical Document Generation Agent</t>
  </si>
  <si>
    <t>Technical documentation is manually created and often outdated after code changes.</t>
  </si>
  <si>
    <t>AI agent observes code changes, generates technical documentation, and links it to JIRA and Confluence.</t>
  </si>
  <si>
    <t>Up‑to‑date documentation, reduced manual effort, better traceability.</t>
  </si>
  <si>
    <t>Automation, Development</t>
  </si>
  <si>
    <t>Identify repos and documentation standards</t>
  </si>
  <si>
    <t>Agentic AI – API Testing</t>
  </si>
  <si>
    <t>Uday Gouty</t>
  </si>
  <si>
    <t>AI Agents for API Testing</t>
  </si>
  <si>
    <t>API endpoints and breaking changes are not detected proactively.</t>
  </si>
  <si>
    <t>AI agent dynamically discovers APIs, generates positive/negative tests, validates schemas, and detects breaking changes.</t>
  </si>
  <si>
    <t>Improved API quality, early defect detection, reduced production issues.</t>
  </si>
  <si>
    <t>Build agent prototype for API discovery</t>
  </si>
  <si>
    <t>Priority 2</t>
  </si>
  <si>
    <t>Knowledge Management</t>
  </si>
  <si>
    <t>Learning Management System for Onboarders</t>
  </si>
  <si>
    <t>Onboarders rely on manual KT sessions and scattered Confluence content, leading to slow ramp‑up.</t>
  </si>
  <si>
    <t>Learning recommendation agent suggests relevant Confluence content, summarizes it, and provides questionnaires for knowledge checks.</t>
  </si>
  <si>
    <t>Faster onboarding, consistent KT, better knowledge retention.</t>
  </si>
  <si>
    <t>Automation, HR, Delivery</t>
  </si>
  <si>
    <t>Identify onboarding personas and content sources</t>
  </si>
  <si>
    <t>NA</t>
  </si>
  <si>
    <t>We are not doing it daily basis , it is totally depends on onboarding frequency</t>
  </si>
  <si>
    <t>Test Automation &amp; AI</t>
  </si>
  <si>
    <t>GitHub Copilot to Generate Unit Tests for Star Framework</t>
  </si>
  <si>
    <t>Writing unit tests manually is repetitive and time‑consuming, leading to inconsistent coverage and quality under delivery pressure.</t>
  </si>
  <si>
    <t>Use GitHub Copilot or free alternatives to auto‑generate unit tests with suggested structures, inputs, and assertions.</t>
  </si>
  <si>
    <t>Faster test creation, standardized quality, higher coverage.</t>
  </si>
  <si>
    <t>Explore free Copilot alternatives and build POC</t>
  </si>
  <si>
    <t>Code Quality Automation</t>
  </si>
  <si>
    <t>Automation Code Correction with GitHub Copilot and SonarQube</t>
  </si>
  <si>
    <t>Sonar issues are identified late, causing rework, repeated testing, and delivery delays.</t>
  </si>
  <si>
    <t>Integrate Copilot with SonarQube for real‑time issue detection and correction during coding.</t>
  </si>
  <si>
    <t>Reduced rework, faster delivery, improved code quality.</t>
  </si>
  <si>
    <t>Revisit feasibility in next budget cycle</t>
  </si>
  <si>
    <t>UX Improvement</t>
  </si>
  <si>
    <t>PowerCloud Contract Row Click Enhancement</t>
  </si>
  <si>
    <t>Contract details are not visible when clicking a row and require extra steps via search icons.</t>
  </si>
  <si>
    <t>Make contract rows clickable hyperlinks to directly open contract details.</t>
  </si>
  <si>
    <t>Faster access to data, improved usability.</t>
  </si>
  <si>
    <t>Automation, UI/UX</t>
  </si>
  <si>
    <t>Implement row‑level navigation</t>
  </si>
  <si>
    <t>AI‑Driven Test Stability</t>
  </si>
  <si>
    <t>Avnees Bana</t>
  </si>
  <si>
    <t>Playwright Self‑Healing Using AI</t>
  </si>
  <si>
    <t>UI changes cause frequent Playwright test failures requiring manual fixes.</t>
  </si>
  <si>
    <t>Introduce AI‑based self‑healing to automatically adapt locators and flows.</t>
  </si>
  <si>
    <t>Reduced maintenance, stable automation, faster releases.</t>
  </si>
  <si>
    <t>Evaluate self‑healing libraries</t>
  </si>
  <si>
    <t>Agentic AI – Framework</t>
  </si>
  <si>
    <t>Playwright MCP Server Integration with STAR Framework</t>
  </si>
  <si>
    <t>High maintenance effort and fragile scripts cause failures after Salesforce UI updates.</t>
  </si>
  <si>
    <t>Integrate Playwright MCP Server to enable AI‑driven test automation and resilience.</t>
  </si>
  <si>
    <t>Lower maintenance, higher automation reliability.</t>
  </si>
  <si>
    <t>Design MCP integration approach</t>
  </si>
  <si>
    <t>CI/CD Optimization</t>
  </si>
  <si>
    <t>Automated Retry Mechanism for Failed Tests</t>
  </si>
  <si>
    <t>Manual analysis and pipeline retriggers for infra‑related failures consume ~2 hours/month per squad.</t>
  </si>
  <si>
    <t>Implement automated retry logic for regression and smoke test failures caused by infrastructure issues.</t>
  </si>
  <si>
    <t>Reduced analysis time, faster pipelines, improved efficiency.</t>
  </si>
  <si>
    <t>Identify retry criteria and thresholds</t>
  </si>
  <si>
    <t>AI Quality Assurance</t>
  </si>
  <si>
    <t>Test Framework for AI Agents</t>
  </si>
  <si>
    <t>Changes in AI models, prompts, or parameters can cause unintended behavior without detection.</t>
  </si>
  <si>
    <t>Create a test framework that validates AI agent behavior whenever configurations change.</t>
  </si>
  <si>
    <t>Reliable AI behavior, safer deployments, reduced regression risk.</t>
  </si>
  <si>
    <t>Automation, AI Teams</t>
  </si>
  <si>
    <t>Define AI behavior test scenarios</t>
  </si>
  <si>
    <t>AI Infrastructure Review</t>
  </si>
  <si>
    <t>Florin Nicolaescu</t>
  </si>
  <si>
    <t>Powercloud</t>
  </si>
  <si>
    <t>Terraform Plan Explainer &amp; Advisor Agent</t>
  </si>
  <si>
    <t>Terraform plan reviews are slow, inconsistent, and often miss critical best-practice issues — leading to risky deployments and rollbacks.</t>
  </si>
  <si>
    <t>An AI agent that reads your Terraform plan, explains what is changing in plain English, flags best-practice violations, and suggests corrected code — in seconds.</t>
  </si>
  <si>
    <t>Faster deployments, fewer rollbacks, and consistent review quality across the entire team.</t>
  </si>
  <si>
    <t>Identify best practise rule set</t>
  </si>
  <si>
    <t>Intelligent Cloud FinOps</t>
  </si>
  <si>
    <t>Ganeshchandra Bhagwan Sahu</t>
  </si>
  <si>
    <t>Cloud Cost Optimizer Agent</t>
  </si>
  <si>
    <t>Engineers spin up cloud resources for testing , but it is not tracked. These forgotten resources keep running silently, and the AWS bill grows .</t>
  </si>
  <si>
    <t>An AI agent that automatically scans cloud resources, identifies wasted resources, and gives you a prioritized list of savings with estimated dollar amounts.</t>
  </si>
  <si>
    <t>Reduce your cloud bill from day one — no manual audits, no missed savings.</t>
  </si>
  <si>
    <t xml:space="preserve">Define data sources, idle/oversized threshold, </t>
  </si>
  <si>
    <t>AI pipeline Intelligence</t>
  </si>
  <si>
    <t>Vinitha Nagesh</t>
  </si>
  <si>
    <t>CI/CD Debugging Agent</t>
  </si>
  <si>
    <t>When a pipeline fails, engineers waste hours reading through long logs to find out what went wrong — and the same issues keep coming back.</t>
  </si>
  <si>
    <t>An AI agent that automatically reads failed pipeline logs, finds the root cause, and tells engineers how to fix it.</t>
  </si>
  <si>
    <t>Less time debugging and more time building. Repeated failures get caught early, and fixes happen faster.</t>
  </si>
  <si>
    <t xml:space="preserve">Medium </t>
  </si>
  <si>
    <t xml:space="preserve">New </t>
  </si>
  <si>
    <t>Collect real failure data, define rule set</t>
  </si>
  <si>
    <t>MS-01</t>
  </si>
  <si>
    <t>Production Support</t>
  </si>
  <si>
    <t>Sakhi</t>
  </si>
  <si>
    <t>MuleSoft</t>
  </si>
  <si>
    <t>AI Log Analysis for Production Issues</t>
  </si>
  <si>
    <t>Production issues require manual log analysis and expert intervention</t>
  </si>
  <si>
    <t>AI diagnostics agent analyzes MuleSoft logs and identifies issues automatically</t>
  </si>
  <si>
    <t>Faster incident resolution, reduced MTTR</t>
  </si>
  <si>
    <t>MuleSoft, Support</t>
  </si>
  <si>
    <t>Idea Submitted</t>
  </si>
  <si>
    <t>Evaluate MuleSoft Diagnostics Agent alignment</t>
  </si>
  <si>
    <t>Reference to MuleSoft Diagnostics Agent</t>
  </si>
  <si>
    <t>MS-02</t>
  </si>
  <si>
    <t>Code Quality</t>
  </si>
  <si>
    <t>Vineeth</t>
  </si>
  <si>
    <t>Sonar Remediation Agent</t>
  </si>
  <si>
    <t>Technical debt remediation is manual and time-consuming</t>
  </si>
  <si>
    <t>Agent automates Sonar issue remediation suggestions</t>
  </si>
  <si>
    <t>Reduced tech debt, faster development cycles</t>
  </si>
  <si>
    <t>Dev, QA</t>
  </si>
  <si>
    <t>Assess integration with SonarQube</t>
  </si>
  <si>
    <t>Similar idea worked by Satya earlier</t>
  </si>
  <si>
    <t>MS-03</t>
  </si>
  <si>
    <t>Monitoring &amp; Visibility</t>
  </si>
  <si>
    <t>API Status Page Automation</t>
  </si>
  <si>
    <t>No centralized, auto-updated view of API production status</t>
  </si>
  <si>
    <t>API fetches deployed API status and updates Confluence with alerts</t>
  </si>
  <si>
    <t>Improved visibility and proactive monitoring</t>
  </si>
  <si>
    <t>MuleSoft, Platform</t>
  </si>
  <si>
    <t>Design API + Confluence integration</t>
  </si>
  <si>
    <t>Uses Vibe + AI</t>
  </si>
  <si>
    <t>MS-04</t>
  </si>
  <si>
    <t>Troubleshooting</t>
  </si>
  <si>
    <t>Ketan</t>
  </si>
  <si>
    <t>“Why Did My Flow Fail?” Log Analyzer</t>
  </si>
  <si>
    <t>Root cause analysis requires deep technical knowledge</t>
  </si>
  <si>
    <t>AI explains failure reasons and suggests fixes in plain English</t>
  </si>
  <si>
    <t>Reduced support dependency, faster fixes</t>
  </si>
  <si>
    <t>POC with sample logs</t>
  </si>
  <si>
    <t>MuleSoft Diagnostics reference</t>
  </si>
  <si>
    <t>MS-05</t>
  </si>
  <si>
    <t>Productivity</t>
  </si>
  <si>
    <t>Chidananda</t>
  </si>
  <si>
    <t>Book My Slot – Chatbot Add-on</t>
  </si>
  <si>
    <t>Booking design/implementation slots is manual</t>
  </si>
  <si>
    <t>Chatbot add-on enables slot booking directly</t>
  </si>
  <si>
    <t>Time savings, better scheduling</t>
  </si>
  <si>
    <t>S</t>
  </si>
  <si>
    <t>MuleSoft, PMO</t>
  </si>
  <si>
    <t>Integrate with calendar system</t>
  </si>
  <si>
    <t>No additional remarks</t>
  </si>
  <si>
    <t>MS-06</t>
  </si>
  <si>
    <t>Architecture Visibility</t>
  </si>
  <si>
    <t>API Mind Map – Connection Visualizer</t>
  </si>
  <si>
    <t>API dependencies are hard to discover manually</t>
  </si>
  <si>
    <t>AI visualizes API connections and impact in Anypoint</t>
  </si>
  <si>
    <t>Faster impact analysis, confident decisions</t>
  </si>
  <si>
    <t>MuleSoft, Architects</t>
  </si>
  <si>
    <t>Explore Anypoint metadata usage</t>
  </si>
  <si>
    <t>Strong enterprise value</t>
  </si>
  <si>
    <t>60 hours of saving per day</t>
  </si>
  <si>
    <t>MS-07</t>
  </si>
  <si>
    <t>Automated Runbook Entry Creation</t>
  </si>
  <si>
    <t>Runbook updates are manual and error-prone</t>
  </si>
  <si>
    <t>Agent extracts Jira story details and updates runbook automatically</t>
  </si>
  <si>
    <t>Accurate documentation, time savings</t>
  </si>
  <si>
    <t>Dev, Platform</t>
  </si>
  <si>
    <t>Jira–Confluence automation design</t>
  </si>
  <si>
    <t>No data found to match</t>
  </si>
  <si>
    <t>MS-08</t>
  </si>
  <si>
    <t>DevOps</t>
  </si>
  <si>
    <t>Amit</t>
  </si>
  <si>
    <t>CI/CD Agent</t>
  </si>
  <si>
    <t>Deployments need multiple manual checks</t>
  </si>
  <si>
    <t>Agent performs deployments, pre-checks, alerts, and log analysis</t>
  </si>
  <si>
    <t>Faster, safer deployments</t>
  </si>
  <si>
    <t>DevOps, Platform</t>
  </si>
  <si>
    <t>Define deployment workflows</t>
  </si>
  <si>
    <t>Integrates with other agents</t>
  </si>
  <si>
    <t>MS-09</t>
  </si>
  <si>
    <t>Observability</t>
  </si>
  <si>
    <t>Sindhu</t>
  </si>
  <si>
    <t>API Response Summarizer</t>
  </si>
  <si>
    <t>Large API responses are hard to log and interpret</t>
  </si>
  <si>
    <t>Agent summarizes responses into 2–3 lines</t>
  </si>
  <si>
    <t>Better logging and dashboards</t>
  </si>
  <si>
    <t>MuleSoft, Ops</t>
  </si>
  <si>
    <t>Identify summarization use cases</t>
  </si>
  <si>
    <t>Useful for complex flows</t>
  </si>
  <si>
    <t>MS-10</t>
  </si>
  <si>
    <t>Security &amp; Compliance</t>
  </si>
  <si>
    <t>Naveen</t>
  </si>
  <si>
    <t>Certificate Expiry Monitoring &amp; Auto Upload</t>
  </si>
  <si>
    <t>Certificate uploads to S3 are manual and error-prone</t>
  </si>
  <si>
    <t>Agent auto-detects S3 path and uploads certificates</t>
  </si>
  <si>
    <t>Reduced outages, compliance assurance</t>
  </si>
  <si>
    <t>Platform, Security</t>
  </si>
  <si>
    <t>Automate S3 upload using dashboard data</t>
  </si>
  <si>
    <t>New Relic dashboard exists</t>
  </si>
  <si>
    <t xml:space="preserve">Automation </t>
  </si>
  <si>
    <t>MS-11</t>
  </si>
  <si>
    <t>API Testing</t>
  </si>
  <si>
    <t>RAML to Postman Collection Creator</t>
  </si>
  <si>
    <t>Postman collections are manually created from RAML</t>
  </si>
  <si>
    <t>Agent auto-generates Postman collections</t>
  </si>
  <si>
    <t>Faster API testing</t>
  </si>
  <si>
    <t>QA, Dev</t>
  </si>
  <si>
    <t>Build RAML parser</t>
  </si>
  <si>
    <t>MS-12</t>
  </si>
  <si>
    <t>Intelligent Automation</t>
  </si>
  <si>
    <t>Lalit</t>
  </si>
  <si>
    <t>AI-driven Document Data Extraction</t>
  </si>
  <si>
    <t>Manual data extraction from PDFs/images</t>
  </si>
  <si>
    <t>Reusable MuleSoft flows using AI (IDP &amp; RPA)</t>
  </si>
  <si>
    <t>Automation, reduced manual effort</t>
  </si>
  <si>
    <t>MuleSoft, RPA</t>
  </si>
  <si>
    <t>Identify AI services</t>
  </si>
  <si>
    <t>Broad applicability</t>
  </si>
  <si>
    <t>MS-13</t>
  </si>
  <si>
    <t>Onboarding</t>
  </si>
  <si>
    <t>New Joiner Onboarding – Access Management</t>
  </si>
  <si>
    <t>Onboarding and access provisioning are manual</t>
  </si>
  <si>
    <t>AI agent automates onboarding and provides assistance</t>
  </si>
  <si>
    <t>Faster onboarding, compliance</t>
  </si>
  <si>
    <t>IT, Security, HR</t>
  </si>
  <si>
    <t>Map onboarding workflows</t>
  </si>
  <si>
    <t>Strong HR-Tech use case</t>
  </si>
  <si>
    <t>MS-14</t>
  </si>
  <si>
    <t>Developer Productivity</t>
  </si>
  <si>
    <t>Code Assist Agent</t>
  </si>
  <si>
    <t>Developers take weeks to understand new codebases</t>
  </si>
  <si>
    <t>AI analyzes repo and provides guidance via chat</t>
  </si>
  <si>
    <t>Faster ramp-up, productivity</t>
  </si>
  <si>
    <t>Dev, Architects</t>
  </si>
  <si>
    <t>Connect to repo and chat UI</t>
  </si>
  <si>
    <t>Useful for squad switches</t>
  </si>
  <si>
    <t>MS-15</t>
  </si>
  <si>
    <t>Code Review</t>
  </si>
  <si>
    <t>Review Companion</t>
  </si>
  <si>
    <t>Merge request reviews are manual and inconsistent</t>
  </si>
  <si>
    <t>AI assistant analyzes MRs and highlights issues</t>
  </si>
  <si>
    <t>Reduced cognitive load, faster reviews</t>
  </si>
  <si>
    <t>Dev, Leads</t>
  </si>
  <si>
    <t>Define MR analysis rules</t>
  </si>
  <si>
    <t>Human approval retained</t>
  </si>
  <si>
    <t xml:space="preserve">saving 48 premium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</si>
</sst>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8" tint="0.7999816888943144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1" fillId="0" borderId="8" xfId="0" applyFont="1" applyBorder="1"/>
    <xf numFmtId="0" fontId="1" fillId="0" borderId="8" xfId="0" applyFont="1" applyBorder="1" applyAlignment="1">
      <alignment wrapText="1"/>
    </xf>
    <xf numFmtId="0" fontId="0" fillId="0" borderId="9" xfId="0" applyBorder="1"/>
    <xf numFmtId="0" fontId="1" fillId="0" borderId="10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2" fillId="2" borderId="0" xfId="0" applyFont="1" applyFill="1"/>
    <xf numFmtId="0" fontId="4" fillId="0" borderId="14" xfId="0" applyFont="1" applyBorder="1" applyAlignment="1">
      <alignment vertical="center" wrapText="1"/>
    </xf>
    <xf numFmtId="2" fontId="0" fillId="2" borderId="0" xfId="0" applyNumberFormat="1" applyFill="1"/>
    <xf numFmtId="9" fontId="0" fillId="2" borderId="0" xfId="0" applyNumberFormat="1" applyFill="1"/>
    <xf numFmtId="9" fontId="0" fillId="2" borderId="0" xfId="1" applyFont="1" applyFill="1"/>
    <xf numFmtId="1" fontId="0" fillId="2" borderId="0" xfId="0" applyNumberFormat="1" applyFill="1"/>
    <xf numFmtId="0" fontId="0" fillId="2" borderId="0" xfId="0" applyFill="1" applyAlignment="1">
      <alignment wrapText="1"/>
    </xf>
  </cellXfs>
  <cellStyles count="2">
    <cellStyle name="Normal" xfId="0" builtinId="0"/>
    <cellStyle name="Percent" xfId="1" builtinId="5"/>
  </cellStyles>
  <dxfs count="7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6187B-898B-4C6D-990F-F49BDD7D23A3}" name="Table1" displayName="Table1" ref="A1:V46" totalsRowShown="0" headerRowDxfId="6">
  <autoFilter ref="A1:V46" xr:uid="{D036187B-898B-4C6D-990F-F49BDD7D23A3}">
    <filterColumn colId="16">
      <customFilters>
        <customFilter operator="notEqual" val=" "/>
      </customFilters>
    </filterColumn>
  </autoFilter>
  <tableColumns count="22">
    <tableColumn id="1" xr3:uid="{0B7F1BA6-F30E-4A86-96A7-1EC255DB776E}" name="Idea ID"/>
    <tableColumn id="2" xr3:uid="{ECFE58C0-D648-4F24-A8F0-3BA77796BF23}" name="Theme"/>
    <tableColumn id="3" xr3:uid="{E455C65A-09D6-4291-80E3-062CFF8B1720}" name="Idea By"/>
    <tableColumn id="4" xr3:uid="{0D8A4498-4A44-4C38-941D-4799667E6FF1}" name="Owner Team"/>
    <tableColumn id="5" xr3:uid="{EF9F6A57-55DC-4710-959D-D6A9C46BF2F8}" name="Idea Title"/>
    <tableColumn id="6" xr3:uid="{0EA88D0F-380F-46ED-A922-80326558B1DD}" name="Pain / Opportunity"/>
    <tableColumn id="7" xr3:uid="{1F2F2866-21FA-422E-99C6-6752BBFF124A}" name="Problem Statement"/>
    <tableColumn id="8" xr3:uid="{36B677F4-6514-4DF7-9938-570226DC63F1}" name="Solution Summary"/>
    <tableColumn id="10" xr3:uid="{AE519EDB-ABF9-4749-AC1C-56CD2B2A0EB0}" name="Business Value"/>
    <tableColumn id="11" xr3:uid="{E6441FD4-1A7F-4D7B-924A-767CFD75CD3A}" name="Impact"/>
    <tableColumn id="12" xr3:uid="{3F8B78E4-BB10-4BD6-B0D6-39C88BEE4CEA}" name="Effort"/>
    <tableColumn id="13" xr3:uid="{CA6D408B-AE40-4D50-9C85-778C6800F58C}" name="Feasibility"/>
    <tableColumn id="14" xr3:uid="{2F7F924E-365D-44E0-915B-2DFE4E8F4BE7}" name="Teams Involved"/>
    <tableColumn id="15" xr3:uid="{E782AD5D-DF13-4FF3-9D10-C0A12329C326}" name="Status"/>
    <tableColumn id="16" xr3:uid="{C714317E-89C1-42B9-A0D1-6F87BDE4EE66}" name="Next Steps"/>
    <tableColumn id="17" xr3:uid="{AE3A0323-1363-4C4F-89BA-B13B2887D204}" name="Remarks"/>
    <tableColumn id="9" xr3:uid="{4007CC65-2B06-4FF4-A97F-E71B99618503}" name="How much time does it take today ( in hours)_x000a_ A" dataDxfId="5"/>
    <tableColumn id="18" xr3:uid="{EE0EF7C9-8C0A-4283-8B42-206D3616966B}" name="how many times per day_x000a_B" dataDxfId="4"/>
    <tableColumn id="19" xr3:uid="{57B05145-1D9A-41A1-8ED2-D573D65104E5}" name="How much reduction do you expect the solution to give?_x000a_C" dataDxfId="3"/>
    <tableColumn id="20" xr3:uid="{987E0A7A-0F71-4967-A5D6-2C2C6DF08639}" name="Effort Bank= A*B*C" dataDxfId="2">
      <calculatedColumnFormula>Table1[[#This Row],[How much time does it take today ( in hours)
 A]]*Table1[[#This Row],[how many times per day
B]]*Table1[[#This Row],[How much reduction do you expect the solution to give?
C]]</calculatedColumnFormula>
    </tableColumn>
    <tableColumn id="21" xr3:uid="{85EE513C-BE85-417B-8B3E-6C786F5173B0}" name="Next Step" dataDxfId="1"/>
    <tableColumn id="22" xr3:uid="{1112E88A-0174-4028-8ADB-EE9700EEEA89}" name="Column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DF50-2A15-4392-93DE-91910E98F528}">
  <dimension ref="A1:V46"/>
  <sheetViews>
    <sheetView tabSelected="1" topLeftCell="D1" zoomScale="80" zoomScaleNormal="80" workbookViewId="0">
      <pane ySplit="1" topLeftCell="A2" activePane="bottomLeft" state="frozen"/>
      <selection pane="bottomLeft" activeCell="U17" sqref="U17"/>
    </sheetView>
  </sheetViews>
  <sheetFormatPr defaultColWidth="33.85546875" defaultRowHeight="14.45"/>
  <cols>
    <col min="1" max="1" width="8.85546875" bestFit="1" customWidth="1"/>
    <col min="2" max="2" width="17.140625" customWidth="1"/>
    <col min="3" max="3" width="14.7109375" customWidth="1"/>
    <col min="4" max="4" width="26.85546875" bestFit="1" customWidth="1"/>
    <col min="5" max="5" width="54.28515625" bestFit="1" customWidth="1"/>
    <col min="6" max="6" width="18.42578125" bestFit="1" customWidth="1"/>
    <col min="7" max="7" width="33.85546875" customWidth="1"/>
    <col min="8" max="8" width="33.5703125" customWidth="1"/>
    <col min="9" max="9" width="31.140625" customWidth="1"/>
    <col min="10" max="10" width="9" customWidth="1"/>
    <col min="11" max="11" width="8.140625" customWidth="1"/>
    <col min="12" max="12" width="11.85546875" customWidth="1"/>
    <col min="13" max="13" width="32.42578125" customWidth="1"/>
    <col min="14" max="14" width="13.140625" customWidth="1"/>
    <col min="15" max="15" width="33.5703125" customWidth="1"/>
    <col min="16" max="16" width="32.42578125" customWidth="1"/>
    <col min="17" max="17" width="33.85546875" style="26" customWidth="1"/>
    <col min="18" max="18" width="13" style="24" customWidth="1"/>
    <col min="19" max="19" width="24.7109375" style="24" customWidth="1"/>
    <col min="20" max="20" width="16.85546875" style="24" bestFit="1" customWidth="1"/>
  </cols>
  <sheetData>
    <row r="1" spans="1:22" s="25" customFormat="1" ht="57.9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</row>
    <row r="2" spans="1:22" ht="57.9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24">
        <v>0.5</v>
      </c>
      <c r="R2" s="24">
        <v>2</v>
      </c>
      <c r="S2" s="29">
        <v>0.8</v>
      </c>
      <c r="T2" s="28">
        <f>Table1[[#This Row],[How much time does it take today ( in hours)
 A]]*Table1[[#This Row],[how many times per day
B]]*Table1[[#This Row],[How much reduction do you expect the solution to give?
C]]</f>
        <v>0.8</v>
      </c>
      <c r="U2" s="24" t="s">
        <v>38</v>
      </c>
      <c r="V2" s="24"/>
    </row>
    <row r="3" spans="1:22" ht="57.9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31</v>
      </c>
      <c r="K3" s="1" t="s">
        <v>48</v>
      </c>
      <c r="L3" s="1" t="s">
        <v>33</v>
      </c>
      <c r="M3" s="1" t="s">
        <v>49</v>
      </c>
      <c r="N3" s="1" t="s">
        <v>35</v>
      </c>
      <c r="O3" s="1" t="s">
        <v>50</v>
      </c>
      <c r="P3" s="1" t="s">
        <v>51</v>
      </c>
      <c r="Q3" s="24">
        <v>0.75</v>
      </c>
      <c r="R3" s="24">
        <f>200*3</f>
        <v>600</v>
      </c>
      <c r="S3" s="29">
        <v>1</v>
      </c>
      <c r="T3" s="24">
        <f>Table1[[#This Row],[How much time does it take today ( in hours)
 A]]*Table1[[#This Row],[how many times per day
B]]*Table1[[#This Row],[How much reduction do you expect the solution to give?
C]]</f>
        <v>450</v>
      </c>
      <c r="U3" s="24" t="s">
        <v>52</v>
      </c>
      <c r="V3" s="24"/>
    </row>
    <row r="4" spans="1:22" ht="43.5" hidden="1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27</v>
      </c>
      <c r="G4" s="1" t="s">
        <v>58</v>
      </c>
      <c r="H4" s="1" t="s">
        <v>59</v>
      </c>
      <c r="I4" s="1" t="s">
        <v>60</v>
      </c>
      <c r="J4" s="1" t="s">
        <v>31</v>
      </c>
      <c r="K4" s="1" t="s">
        <v>32</v>
      </c>
      <c r="L4" s="1" t="s">
        <v>31</v>
      </c>
      <c r="M4" s="1" t="s">
        <v>61</v>
      </c>
      <c r="N4" s="1" t="s">
        <v>35</v>
      </c>
      <c r="O4" s="1" t="s">
        <v>62</v>
      </c>
      <c r="P4" s="1" t="s">
        <v>63</v>
      </c>
      <c r="Q4" s="24"/>
      <c r="T4" s="24">
        <f>Table1[[#This Row],[How much time does it take today ( in hours)
 A]]*Table1[[#This Row],[how many times per day
B]]*Table1[[#This Row],[How much reduction do you expect the solution to give?
C]]</f>
        <v>0</v>
      </c>
      <c r="U4" s="24"/>
      <c r="V4" s="24"/>
    </row>
    <row r="5" spans="1:22" ht="57.95" hidden="1">
      <c r="A5" s="1" t="s">
        <v>64</v>
      </c>
      <c r="B5" s="1" t="s">
        <v>23</v>
      </c>
      <c r="C5" s="1" t="s">
        <v>65</v>
      </c>
      <c r="D5" s="1" t="s">
        <v>66</v>
      </c>
      <c r="E5" s="1" t="s">
        <v>67</v>
      </c>
      <c r="F5" s="1" t="s">
        <v>27</v>
      </c>
      <c r="G5" s="1" t="s">
        <v>68</v>
      </c>
      <c r="H5" s="1" t="s">
        <v>69</v>
      </c>
      <c r="I5" s="1" t="s">
        <v>70</v>
      </c>
      <c r="J5" s="1" t="s">
        <v>33</v>
      </c>
      <c r="K5" s="1" t="s">
        <v>71</v>
      </c>
      <c r="L5" s="1" t="s">
        <v>31</v>
      </c>
      <c r="M5" s="1" t="s">
        <v>72</v>
      </c>
      <c r="N5" s="1" t="s">
        <v>35</v>
      </c>
      <c r="O5" s="1" t="s">
        <v>73</v>
      </c>
      <c r="P5" s="1" t="s">
        <v>74</v>
      </c>
      <c r="Q5" s="24"/>
      <c r="T5" s="24">
        <f>Table1[[#This Row],[How much time does it take today ( in hours)
 A]]*Table1[[#This Row],[how many times per day
B]]*Table1[[#This Row],[How much reduction do you expect the solution to give?
C]]</f>
        <v>0</v>
      </c>
      <c r="U5" s="24"/>
      <c r="V5" s="24"/>
    </row>
    <row r="6" spans="1:22" ht="43.5">
      <c r="A6" s="1" t="s">
        <v>75</v>
      </c>
      <c r="B6" s="1" t="s">
        <v>76</v>
      </c>
      <c r="C6" s="1" t="s">
        <v>41</v>
      </c>
      <c r="D6" s="1" t="s">
        <v>42</v>
      </c>
      <c r="E6" s="1" t="s">
        <v>77</v>
      </c>
      <c r="F6" s="1" t="s">
        <v>44</v>
      </c>
      <c r="G6" s="1" t="s">
        <v>78</v>
      </c>
      <c r="H6" s="1" t="s">
        <v>79</v>
      </c>
      <c r="I6" s="1" t="s">
        <v>80</v>
      </c>
      <c r="J6" s="1" t="s">
        <v>31</v>
      </c>
      <c r="K6" s="1" t="s">
        <v>32</v>
      </c>
      <c r="L6" s="1" t="s">
        <v>31</v>
      </c>
      <c r="M6" s="1" t="s">
        <v>81</v>
      </c>
      <c r="N6" s="1" t="s">
        <v>35</v>
      </c>
      <c r="O6" s="1" t="s">
        <v>82</v>
      </c>
      <c r="P6" s="1" t="s">
        <v>83</v>
      </c>
      <c r="Q6" s="28">
        <f>5/60</f>
        <v>8.3333333333333329E-2</v>
      </c>
      <c r="R6" s="24">
        <v>100</v>
      </c>
      <c r="S6" s="30">
        <v>0.8</v>
      </c>
      <c r="T6" s="28">
        <f>Table1[[#This Row],[How much time does it take today ( in hours)
 A]]*Table1[[#This Row],[how many times per day
B]]*Table1[[#This Row],[How much reduction do you expect the solution to give?
C]]</f>
        <v>6.6666666666666661</v>
      </c>
      <c r="U6" s="24" t="s">
        <v>84</v>
      </c>
      <c r="V6" s="24"/>
    </row>
    <row r="7" spans="1:22" ht="57.95" hidden="1">
      <c r="A7" s="1" t="s">
        <v>85</v>
      </c>
      <c r="B7" s="1" t="s">
        <v>23</v>
      </c>
      <c r="C7" s="1" t="s">
        <v>86</v>
      </c>
      <c r="D7" s="1" t="s">
        <v>87</v>
      </c>
      <c r="E7" s="1" t="s">
        <v>88</v>
      </c>
      <c r="F7" s="1" t="s">
        <v>27</v>
      </c>
      <c r="G7" s="1" t="s">
        <v>89</v>
      </c>
      <c r="H7" s="1" t="s">
        <v>90</v>
      </c>
      <c r="I7" s="1" t="s">
        <v>91</v>
      </c>
      <c r="J7" s="1" t="s">
        <v>31</v>
      </c>
      <c r="K7" s="1" t="s">
        <v>32</v>
      </c>
      <c r="L7" s="1" t="s">
        <v>31</v>
      </c>
      <c r="M7" s="1" t="s">
        <v>92</v>
      </c>
      <c r="N7" s="1" t="s">
        <v>35</v>
      </c>
      <c r="O7" s="1" t="s">
        <v>93</v>
      </c>
      <c r="P7" s="1" t="s">
        <v>94</v>
      </c>
      <c r="Q7" s="24"/>
      <c r="T7" s="24">
        <f>Table1[[#This Row],[How much time does it take today ( in hours)
 A]]*Table1[[#This Row],[how many times per day
B]]*Table1[[#This Row],[How much reduction do you expect the solution to give?
C]]</f>
        <v>0</v>
      </c>
      <c r="U7" s="24"/>
      <c r="V7" s="24"/>
    </row>
    <row r="8" spans="1:22" ht="43.5" hidden="1">
      <c r="A8" s="1" t="s">
        <v>95</v>
      </c>
      <c r="B8" s="1" t="s">
        <v>54</v>
      </c>
      <c r="C8" s="1" t="s">
        <v>65</v>
      </c>
      <c r="D8" s="1" t="s">
        <v>96</v>
      </c>
      <c r="E8" s="1" t="s">
        <v>97</v>
      </c>
      <c r="F8" s="1" t="s">
        <v>27</v>
      </c>
      <c r="G8" s="1" t="s">
        <v>98</v>
      </c>
      <c r="H8" s="1" t="s">
        <v>99</v>
      </c>
      <c r="I8" s="1" t="s">
        <v>100</v>
      </c>
      <c r="J8" s="1" t="s">
        <v>33</v>
      </c>
      <c r="K8" s="1" t="s">
        <v>48</v>
      </c>
      <c r="L8" s="1" t="s">
        <v>33</v>
      </c>
      <c r="M8" s="1" t="s">
        <v>101</v>
      </c>
      <c r="N8" s="1" t="s">
        <v>35</v>
      </c>
      <c r="O8" s="1" t="s">
        <v>102</v>
      </c>
      <c r="P8" s="1" t="s">
        <v>103</v>
      </c>
      <c r="Q8" s="24"/>
      <c r="T8" s="24">
        <f>Table1[[#This Row],[How much time does it take today ( in hours)
 A]]*Table1[[#This Row],[how many times per day
B]]*Table1[[#This Row],[How much reduction do you expect the solution to give?
C]]</f>
        <v>0</v>
      </c>
      <c r="U8" s="24"/>
      <c r="V8" s="24"/>
    </row>
    <row r="9" spans="1:22" ht="43.5" hidden="1">
      <c r="A9" s="1" t="s">
        <v>104</v>
      </c>
      <c r="B9" s="1" t="s">
        <v>40</v>
      </c>
      <c r="C9" s="1" t="s">
        <v>65</v>
      </c>
      <c r="D9" s="1" t="s">
        <v>105</v>
      </c>
      <c r="E9" s="1" t="s">
        <v>106</v>
      </c>
      <c r="F9" s="1" t="s">
        <v>44</v>
      </c>
      <c r="G9" s="1" t="s">
        <v>107</v>
      </c>
      <c r="H9" s="1" t="s">
        <v>108</v>
      </c>
      <c r="I9" s="1" t="s">
        <v>109</v>
      </c>
      <c r="J9" s="1" t="s">
        <v>31</v>
      </c>
      <c r="K9" s="1" t="s">
        <v>32</v>
      </c>
      <c r="L9" s="1" t="s">
        <v>31</v>
      </c>
      <c r="M9" s="1" t="s">
        <v>110</v>
      </c>
      <c r="N9" s="1" t="s">
        <v>35</v>
      </c>
      <c r="O9" s="1" t="s">
        <v>111</v>
      </c>
      <c r="P9" s="1" t="s">
        <v>112</v>
      </c>
      <c r="Q9" s="24"/>
      <c r="T9" s="24">
        <f>Table1[[#This Row],[How much time does it take today ( in hours)
 A]]*Table1[[#This Row],[how many times per day
B]]*Table1[[#This Row],[How much reduction do you expect the solution to give?
C]]</f>
        <v>0</v>
      </c>
      <c r="U9" s="24"/>
      <c r="V9" s="24"/>
    </row>
    <row r="10" spans="1:22" ht="57.95" hidden="1">
      <c r="A10" s="1" t="s">
        <v>113</v>
      </c>
      <c r="B10" s="1" t="s">
        <v>54</v>
      </c>
      <c r="C10" s="1" t="s">
        <v>65</v>
      </c>
      <c r="D10" s="1" t="s">
        <v>96</v>
      </c>
      <c r="E10" s="1" t="s">
        <v>114</v>
      </c>
      <c r="F10" s="1" t="s">
        <v>27</v>
      </c>
      <c r="G10" s="1" t="s">
        <v>115</v>
      </c>
      <c r="H10" s="1" t="s">
        <v>116</v>
      </c>
      <c r="I10" s="1" t="s">
        <v>117</v>
      </c>
      <c r="J10" s="1" t="s">
        <v>33</v>
      </c>
      <c r="K10" s="1" t="s">
        <v>32</v>
      </c>
      <c r="L10" s="1" t="s">
        <v>31</v>
      </c>
      <c r="M10" s="1" t="s">
        <v>118</v>
      </c>
      <c r="N10" s="1" t="s">
        <v>35</v>
      </c>
      <c r="O10" s="1" t="s">
        <v>119</v>
      </c>
      <c r="P10" s="1" t="s">
        <v>120</v>
      </c>
      <c r="Q10" s="24"/>
      <c r="T10" s="24">
        <f>Table1[[#This Row],[How much time does it take today ( in hours)
 A]]*Table1[[#This Row],[how many times per day
B]]*Table1[[#This Row],[How much reduction do you expect the solution to give?
C]]</f>
        <v>0</v>
      </c>
      <c r="U10" s="24"/>
      <c r="V10" s="24"/>
    </row>
    <row r="11" spans="1:22" ht="72.599999999999994">
      <c r="A11" s="2" t="s">
        <v>121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27</v>
      </c>
      <c r="G11" s="2" t="s">
        <v>126</v>
      </c>
      <c r="H11" s="2" t="s">
        <v>127</v>
      </c>
      <c r="I11" s="2" t="s">
        <v>128</v>
      </c>
      <c r="J11" s="2" t="s">
        <v>31</v>
      </c>
      <c r="K11" s="2" t="s">
        <v>32</v>
      </c>
      <c r="L11" s="2" t="s">
        <v>31</v>
      </c>
      <c r="M11" s="2" t="s">
        <v>129</v>
      </c>
      <c r="N11" s="2" t="s">
        <v>35</v>
      </c>
      <c r="O11" s="2" t="s">
        <v>130</v>
      </c>
      <c r="P11" s="2" t="s">
        <v>131</v>
      </c>
      <c r="Q11" s="24">
        <v>1</v>
      </c>
      <c r="R11" s="24">
        <f>7*1</f>
        <v>7</v>
      </c>
      <c r="S11" s="29">
        <v>0.84</v>
      </c>
      <c r="T11" s="24">
        <f>Table1[[#This Row],[How much time does it take today ( in hours)
 A]]*Table1[[#This Row],[how many times per day
B]]*Table1[[#This Row],[How much reduction do you expect the solution to give?
C]]</f>
        <v>5.88</v>
      </c>
      <c r="U11" s="24" t="s">
        <v>132</v>
      </c>
      <c r="V11" s="24"/>
    </row>
    <row r="12" spans="1:22" ht="72.599999999999994">
      <c r="A12" s="2" t="s">
        <v>133</v>
      </c>
      <c r="B12" s="2" t="s">
        <v>134</v>
      </c>
      <c r="C12" s="2" t="s">
        <v>135</v>
      </c>
      <c r="D12" s="2" t="s">
        <v>136</v>
      </c>
      <c r="E12" s="2" t="s">
        <v>137</v>
      </c>
      <c r="F12" s="2" t="s">
        <v>27</v>
      </c>
      <c r="G12" s="2" t="s">
        <v>138</v>
      </c>
      <c r="H12" s="2" t="s">
        <v>139</v>
      </c>
      <c r="I12" s="2" t="s">
        <v>140</v>
      </c>
      <c r="J12" s="2" t="s">
        <v>31</v>
      </c>
      <c r="K12" s="2" t="s">
        <v>48</v>
      </c>
      <c r="L12" s="2" t="s">
        <v>33</v>
      </c>
      <c r="M12" s="2" t="s">
        <v>141</v>
      </c>
      <c r="N12" s="2" t="s">
        <v>35</v>
      </c>
      <c r="O12" s="2" t="s">
        <v>142</v>
      </c>
      <c r="P12" s="2" t="s">
        <v>143</v>
      </c>
      <c r="Q12" s="24">
        <v>2</v>
      </c>
      <c r="R12" s="24">
        <f>(1/5)*5</f>
        <v>1</v>
      </c>
      <c r="S12" s="29">
        <v>0.7</v>
      </c>
      <c r="T12" s="24">
        <f>Table1[[#This Row],[How much time does it take today ( in hours)
 A]]*Table1[[#This Row],[how many times per day
B]]*Table1[[#This Row],[How much reduction do you expect the solution to give?
C]]</f>
        <v>1.4</v>
      </c>
      <c r="U12" s="24" t="s">
        <v>38</v>
      </c>
      <c r="V12" s="24"/>
    </row>
    <row r="13" spans="1:22" ht="72.599999999999994">
      <c r="A13" s="2" t="s">
        <v>144</v>
      </c>
      <c r="B13" s="2" t="s">
        <v>145</v>
      </c>
      <c r="C13" s="2" t="s">
        <v>146</v>
      </c>
      <c r="D13" s="2" t="s">
        <v>25</v>
      </c>
      <c r="E13" s="2" t="s">
        <v>147</v>
      </c>
      <c r="F13" s="2" t="s">
        <v>27</v>
      </c>
      <c r="G13" s="2" t="s">
        <v>148</v>
      </c>
      <c r="H13" s="2" t="s">
        <v>149</v>
      </c>
      <c r="I13" s="2" t="s">
        <v>150</v>
      </c>
      <c r="J13" s="2" t="s">
        <v>33</v>
      </c>
      <c r="K13" s="2" t="s">
        <v>32</v>
      </c>
      <c r="L13" s="2" t="s">
        <v>31</v>
      </c>
      <c r="M13" s="2" t="s">
        <v>151</v>
      </c>
      <c r="N13" s="2" t="s">
        <v>35</v>
      </c>
      <c r="O13" s="2" t="s">
        <v>152</v>
      </c>
      <c r="P13" s="2" t="s">
        <v>153</v>
      </c>
      <c r="Q13" s="24">
        <v>0.5</v>
      </c>
      <c r="R13" s="24">
        <f>15*2</f>
        <v>30</v>
      </c>
      <c r="S13" s="29">
        <v>1</v>
      </c>
      <c r="T13" s="24">
        <f>Table1[[#This Row],[How much time does it take today ( in hours)
 A]]*Table1[[#This Row],[how many times per day
B]]*Table1[[#This Row],[How much reduction do you expect the solution to give?
C]]</f>
        <v>15</v>
      </c>
      <c r="U13" s="24" t="s">
        <v>154</v>
      </c>
      <c r="V13" s="24"/>
    </row>
    <row r="14" spans="1:22" ht="57.95">
      <c r="A14" s="2" t="s">
        <v>155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44</v>
      </c>
      <c r="G14" s="2" t="s">
        <v>160</v>
      </c>
      <c r="H14" s="2" t="s">
        <v>161</v>
      </c>
      <c r="I14" s="2" t="s">
        <v>162</v>
      </c>
      <c r="J14" s="2" t="s">
        <v>33</v>
      </c>
      <c r="K14" s="2" t="s">
        <v>163</v>
      </c>
      <c r="L14" s="2" t="s">
        <v>31</v>
      </c>
      <c r="M14" s="2" t="s">
        <v>164</v>
      </c>
      <c r="N14" s="2" t="s">
        <v>165</v>
      </c>
      <c r="O14" s="2" t="s">
        <v>166</v>
      </c>
      <c r="P14" s="2" t="s">
        <v>167</v>
      </c>
      <c r="Q14" s="24">
        <v>1</v>
      </c>
      <c r="R14" s="24">
        <f>1*5</f>
        <v>5</v>
      </c>
      <c r="S14" s="29">
        <v>0.8</v>
      </c>
      <c r="T14" s="24">
        <f>Table1[[#This Row],[How much time does it take today ( in hours)
 A]]*Table1[[#This Row],[how many times per day
B]]*Table1[[#This Row],[How much reduction do you expect the solution to give?
C]]</f>
        <v>4</v>
      </c>
      <c r="U14" s="24" t="s">
        <v>168</v>
      </c>
      <c r="V14" s="24"/>
    </row>
    <row r="15" spans="1:22" ht="57.95">
      <c r="B15" s="3" t="s">
        <v>169</v>
      </c>
      <c r="C15" s="4" t="s">
        <v>170</v>
      </c>
      <c r="D15" s="4" t="s">
        <v>171</v>
      </c>
      <c r="E15" s="4" t="s">
        <v>172</v>
      </c>
      <c r="F15" s="4" t="s">
        <v>27</v>
      </c>
      <c r="G15" s="4" t="s">
        <v>173</v>
      </c>
      <c r="H15" s="5" t="s">
        <v>174</v>
      </c>
      <c r="I15" s="5" t="s">
        <v>175</v>
      </c>
      <c r="J15" s="5" t="s">
        <v>31</v>
      </c>
      <c r="K15" s="5" t="s">
        <v>33</v>
      </c>
      <c r="L15" s="5" t="s">
        <v>31</v>
      </c>
      <c r="M15" s="5" t="s">
        <v>176</v>
      </c>
      <c r="N15" s="5" t="s">
        <v>177</v>
      </c>
      <c r="O15" s="5" t="s">
        <v>178</v>
      </c>
      <c r="Q15" s="24">
        <v>0.75</v>
      </c>
      <c r="R15" s="24">
        <f>1*7</f>
        <v>7</v>
      </c>
      <c r="S15" s="29">
        <v>0.88</v>
      </c>
      <c r="T15" s="24">
        <f>Table1[[#This Row],[How much time does it take today ( in hours)
 A]]*Table1[[#This Row],[how many times per day
B]]*Table1[[#This Row],[How much reduction do you expect the solution to give?
C]]</f>
        <v>4.62</v>
      </c>
      <c r="U15" s="24" t="s">
        <v>52</v>
      </c>
      <c r="V15" s="24"/>
    </row>
    <row r="16" spans="1:22" ht="43.5" hidden="1">
      <c r="B16" s="3" t="s">
        <v>179</v>
      </c>
      <c r="C16" s="4" t="s">
        <v>170</v>
      </c>
      <c r="D16" s="4" t="s">
        <v>171</v>
      </c>
      <c r="E16" s="4" t="s">
        <v>180</v>
      </c>
      <c r="F16" s="4" t="s">
        <v>44</v>
      </c>
      <c r="G16" s="4" t="s">
        <v>181</v>
      </c>
      <c r="H16" s="5" t="s">
        <v>182</v>
      </c>
      <c r="I16" s="5" t="s">
        <v>183</v>
      </c>
      <c r="J16" s="5" t="s">
        <v>31</v>
      </c>
      <c r="K16" s="5" t="s">
        <v>33</v>
      </c>
      <c r="L16" s="5" t="s">
        <v>31</v>
      </c>
      <c r="M16" s="5" t="s">
        <v>184</v>
      </c>
      <c r="N16" s="5" t="s">
        <v>177</v>
      </c>
      <c r="O16" s="5" t="s">
        <v>185</v>
      </c>
      <c r="Q16" s="24"/>
      <c r="T16" s="24">
        <f>Table1[[#This Row],[How much time does it take today ( in hours)
 A]]*Table1[[#This Row],[how many times per day
B]]*Table1[[#This Row],[How much reduction do you expect the solution to give?
C]]</f>
        <v>0</v>
      </c>
      <c r="U16" s="24"/>
      <c r="V16" s="24"/>
    </row>
    <row r="17" spans="1:22" ht="43.5">
      <c r="B17" s="6" t="s">
        <v>186</v>
      </c>
      <c r="C17" s="7" t="s">
        <v>187</v>
      </c>
      <c r="D17" s="7" t="s">
        <v>171</v>
      </c>
      <c r="E17" s="7" t="s">
        <v>188</v>
      </c>
      <c r="F17" s="7" t="s">
        <v>27</v>
      </c>
      <c r="G17" s="7" t="s">
        <v>189</v>
      </c>
      <c r="H17" s="8" t="s">
        <v>190</v>
      </c>
      <c r="I17" s="8" t="s">
        <v>191</v>
      </c>
      <c r="J17" s="8" t="s">
        <v>33</v>
      </c>
      <c r="K17" s="8" t="s">
        <v>192</v>
      </c>
      <c r="L17" s="8" t="s">
        <v>31</v>
      </c>
      <c r="M17" s="8" t="s">
        <v>193</v>
      </c>
      <c r="N17" s="8" t="s">
        <v>177</v>
      </c>
      <c r="O17" s="8" t="s">
        <v>194</v>
      </c>
      <c r="Q17" s="24">
        <v>0.5</v>
      </c>
      <c r="R17" s="24">
        <f>1*2</f>
        <v>2</v>
      </c>
      <c r="S17" s="29">
        <v>1</v>
      </c>
      <c r="T17" s="24">
        <f>Table1[[#This Row],[How much time does it take today ( in hours)
 A]]*Table1[[#This Row],[how many times per day
B]]*Table1[[#This Row],[How much reduction do you expect the solution to give?
C]]</f>
        <v>1</v>
      </c>
      <c r="U17" s="24" t="s">
        <v>38</v>
      </c>
      <c r="V17" s="24"/>
    </row>
    <row r="18" spans="1:22" ht="57.95">
      <c r="B18" s="6" t="s">
        <v>195</v>
      </c>
      <c r="C18" s="7" t="s">
        <v>196</v>
      </c>
      <c r="D18" s="7" t="s">
        <v>171</v>
      </c>
      <c r="E18" s="7" t="s">
        <v>197</v>
      </c>
      <c r="F18" s="7" t="s">
        <v>44</v>
      </c>
      <c r="G18" s="7" t="s">
        <v>198</v>
      </c>
      <c r="H18" s="8" t="s">
        <v>199</v>
      </c>
      <c r="I18" s="8" t="s">
        <v>200</v>
      </c>
      <c r="J18" s="8" t="s">
        <v>31</v>
      </c>
      <c r="K18" s="8" t="s">
        <v>31</v>
      </c>
      <c r="L18" s="8" t="s">
        <v>33</v>
      </c>
      <c r="M18" s="8" t="s">
        <v>176</v>
      </c>
      <c r="N18" s="8" t="s">
        <v>177</v>
      </c>
      <c r="O18" s="8" t="s">
        <v>201</v>
      </c>
      <c r="Q18" s="24">
        <v>2</v>
      </c>
      <c r="R18" s="24">
        <v>4</v>
      </c>
      <c r="S18" s="29">
        <v>0.7</v>
      </c>
      <c r="T18" s="24">
        <f>Table1[[#This Row],[How much time does it take today ( in hours)
 A]]*Table1[[#This Row],[how many times per day
B]]*Table1[[#This Row],[How much reduction do you expect the solution to give?
C]]</f>
        <v>5.6</v>
      </c>
      <c r="U18" s="24" t="s">
        <v>168</v>
      </c>
      <c r="V18" s="24"/>
    </row>
    <row r="19" spans="1:22" ht="43.5">
      <c r="B19" s="6" t="s">
        <v>202</v>
      </c>
      <c r="C19" s="7" t="s">
        <v>203</v>
      </c>
      <c r="D19" s="7" t="s">
        <v>171</v>
      </c>
      <c r="E19" s="7" t="s">
        <v>204</v>
      </c>
      <c r="F19" s="7" t="s">
        <v>44</v>
      </c>
      <c r="G19" s="7" t="s">
        <v>205</v>
      </c>
      <c r="H19" s="8" t="s">
        <v>206</v>
      </c>
      <c r="I19" s="8" t="s">
        <v>207</v>
      </c>
      <c r="J19" s="8" t="s">
        <v>31</v>
      </c>
      <c r="K19" s="8" t="s">
        <v>33</v>
      </c>
      <c r="L19" s="8" t="s">
        <v>31</v>
      </c>
      <c r="M19" s="8" t="s">
        <v>208</v>
      </c>
      <c r="N19" s="8" t="s">
        <v>177</v>
      </c>
      <c r="O19" s="8" t="s">
        <v>209</v>
      </c>
      <c r="Q19" s="24">
        <v>1</v>
      </c>
      <c r="R19" s="24">
        <f>1*7</f>
        <v>7</v>
      </c>
      <c r="S19" s="29">
        <v>0.9</v>
      </c>
      <c r="T19" s="24">
        <f>Table1[[#This Row],[How much time does it take today ( in hours)
 A]]*Table1[[#This Row],[how many times per day
B]]*Table1[[#This Row],[How much reduction do you expect the solution to give?
C]]</f>
        <v>6.3</v>
      </c>
      <c r="U19" s="24" t="s">
        <v>52</v>
      </c>
      <c r="V19" s="24"/>
    </row>
    <row r="20" spans="1:22" ht="57.95">
      <c r="B20" s="6" t="s">
        <v>210</v>
      </c>
      <c r="C20" s="7" t="s">
        <v>211</v>
      </c>
      <c r="D20" s="7" t="s">
        <v>171</v>
      </c>
      <c r="E20" s="7" t="s">
        <v>212</v>
      </c>
      <c r="F20" s="7" t="s">
        <v>44</v>
      </c>
      <c r="G20" s="7" t="s">
        <v>213</v>
      </c>
      <c r="H20" s="8" t="s">
        <v>214</v>
      </c>
      <c r="I20" s="8" t="s">
        <v>215</v>
      </c>
      <c r="J20" s="8" t="s">
        <v>31</v>
      </c>
      <c r="K20" s="8" t="s">
        <v>31</v>
      </c>
      <c r="L20" s="8" t="s">
        <v>33</v>
      </c>
      <c r="M20" s="8" t="s">
        <v>176</v>
      </c>
      <c r="N20" s="8" t="s">
        <v>177</v>
      </c>
      <c r="O20" s="8" t="s">
        <v>216</v>
      </c>
      <c r="Q20" s="24">
        <v>1</v>
      </c>
      <c r="R20" s="24">
        <f>1*4</f>
        <v>4</v>
      </c>
      <c r="S20" s="29">
        <v>0.75</v>
      </c>
      <c r="T20" s="24">
        <f>Table1[[#This Row],[How much time does it take today ( in hours)
 A]]*Table1[[#This Row],[how many times per day
B]]*Table1[[#This Row],[How much reduction do you expect the solution to give?
C]]</f>
        <v>3</v>
      </c>
      <c r="U20" s="24" t="s">
        <v>217</v>
      </c>
      <c r="V20" s="24"/>
    </row>
    <row r="21" spans="1:22" ht="57.95">
      <c r="B21" s="6" t="s">
        <v>218</v>
      </c>
      <c r="C21" s="7" t="s">
        <v>203</v>
      </c>
      <c r="D21" s="7" t="s">
        <v>171</v>
      </c>
      <c r="E21" s="7" t="s">
        <v>219</v>
      </c>
      <c r="F21" s="7" t="s">
        <v>44</v>
      </c>
      <c r="G21" s="7" t="s">
        <v>220</v>
      </c>
      <c r="H21" s="8" t="s">
        <v>221</v>
      </c>
      <c r="I21" s="8" t="s">
        <v>222</v>
      </c>
      <c r="J21" s="8" t="s">
        <v>33</v>
      </c>
      <c r="K21" s="8" t="s">
        <v>33</v>
      </c>
      <c r="L21" s="8" t="s">
        <v>31</v>
      </c>
      <c r="M21" s="8" t="s">
        <v>223</v>
      </c>
      <c r="N21" s="8" t="s">
        <v>177</v>
      </c>
      <c r="O21" s="8" t="s">
        <v>224</v>
      </c>
      <c r="Q21" s="24" t="s">
        <v>225</v>
      </c>
      <c r="R21" s="24" t="s">
        <v>225</v>
      </c>
      <c r="S21" s="29">
        <v>0.8</v>
      </c>
      <c r="T21" s="24" t="e">
        <f>Table1[[#This Row],[How much time does it take today ( in hours)
 A]]*Table1[[#This Row],[how many times per day
B]]*Table1[[#This Row],[How much reduction do you expect the solution to give?
C]]</f>
        <v>#VALUE!</v>
      </c>
      <c r="U21" s="24" t="s">
        <v>168</v>
      </c>
      <c r="V21" s="32" t="s">
        <v>226</v>
      </c>
    </row>
    <row r="22" spans="1:22" ht="57.95">
      <c r="B22" s="6" t="s">
        <v>227</v>
      </c>
      <c r="C22" s="7" t="s">
        <v>196</v>
      </c>
      <c r="D22" s="7" t="s">
        <v>171</v>
      </c>
      <c r="E22" s="7" t="s">
        <v>228</v>
      </c>
      <c r="F22" s="7" t="s">
        <v>27</v>
      </c>
      <c r="G22" s="7" t="s">
        <v>229</v>
      </c>
      <c r="H22" s="8" t="s">
        <v>230</v>
      </c>
      <c r="I22" s="8" t="s">
        <v>231</v>
      </c>
      <c r="J22" s="8" t="s">
        <v>31</v>
      </c>
      <c r="K22" s="8" t="s">
        <v>33</v>
      </c>
      <c r="L22" s="8" t="s">
        <v>33</v>
      </c>
      <c r="M22" s="8" t="s">
        <v>208</v>
      </c>
      <c r="N22" s="8" t="s">
        <v>177</v>
      </c>
      <c r="O22" s="8" t="s">
        <v>232</v>
      </c>
      <c r="Q22" s="24">
        <v>1.5</v>
      </c>
      <c r="R22" s="24">
        <f>7*1.5</f>
        <v>10.5</v>
      </c>
      <c r="S22" s="29">
        <v>0.85</v>
      </c>
      <c r="T22" s="24">
        <f>Table1[[#This Row],[How much time does it take today ( in hours)
 A]]*Table1[[#This Row],[how many times per day
B]]*Table1[[#This Row],[How much reduction do you expect the solution to give?
C]]</f>
        <v>13.387499999999999</v>
      </c>
      <c r="U22" s="24" t="s">
        <v>217</v>
      </c>
      <c r="V22" s="24"/>
    </row>
    <row r="23" spans="1:22" ht="43.5">
      <c r="B23" s="6" t="s">
        <v>233</v>
      </c>
      <c r="C23" s="7" t="s">
        <v>203</v>
      </c>
      <c r="D23" s="7" t="s">
        <v>171</v>
      </c>
      <c r="E23" s="7" t="s">
        <v>234</v>
      </c>
      <c r="F23" s="7" t="s">
        <v>27</v>
      </c>
      <c r="G23" s="7" t="s">
        <v>235</v>
      </c>
      <c r="H23" s="8" t="s">
        <v>236</v>
      </c>
      <c r="I23" s="8" t="s">
        <v>237</v>
      </c>
      <c r="J23" s="8" t="s">
        <v>31</v>
      </c>
      <c r="K23" s="8" t="s">
        <v>33</v>
      </c>
      <c r="L23" s="8" t="s">
        <v>33</v>
      </c>
      <c r="M23" s="8" t="s">
        <v>208</v>
      </c>
      <c r="N23" s="8" t="s">
        <v>177</v>
      </c>
      <c r="O23" s="8" t="s">
        <v>238</v>
      </c>
      <c r="Q23" s="24">
        <v>0.75</v>
      </c>
      <c r="R23" s="24">
        <f>1*7</f>
        <v>7</v>
      </c>
      <c r="S23" s="29">
        <v>0.88</v>
      </c>
      <c r="T23" s="24">
        <f>Table1[[#This Row],[How much time does it take today ( in hours)
 A]]*Table1[[#This Row],[how many times per day
B]]*Table1[[#This Row],[How much reduction do you expect the solution to give?
C]]</f>
        <v>4.62</v>
      </c>
      <c r="U23" s="24" t="s">
        <v>52</v>
      </c>
      <c r="V23" s="24"/>
    </row>
    <row r="24" spans="1:22" ht="29.1" hidden="1">
      <c r="B24" s="6" t="s">
        <v>239</v>
      </c>
      <c r="C24" s="7" t="s">
        <v>211</v>
      </c>
      <c r="D24" s="7" t="s">
        <v>171</v>
      </c>
      <c r="E24" s="7" t="s">
        <v>240</v>
      </c>
      <c r="F24" s="7" t="s">
        <v>44</v>
      </c>
      <c r="G24" s="7" t="s">
        <v>241</v>
      </c>
      <c r="H24" s="8" t="s">
        <v>242</v>
      </c>
      <c r="I24" s="8" t="s">
        <v>243</v>
      </c>
      <c r="J24" s="8" t="s">
        <v>33</v>
      </c>
      <c r="K24" s="8" t="s">
        <v>192</v>
      </c>
      <c r="L24" s="8" t="s">
        <v>31</v>
      </c>
      <c r="M24" s="8" t="s">
        <v>244</v>
      </c>
      <c r="N24" s="8" t="s">
        <v>177</v>
      </c>
      <c r="O24" s="8" t="s">
        <v>245</v>
      </c>
      <c r="Q24" s="24"/>
      <c r="T24" s="24">
        <f>Table1[[#This Row],[How much time does it take today ( in hours)
 A]]*Table1[[#This Row],[how many times per day
B]]*Table1[[#This Row],[How much reduction do you expect the solution to give?
C]]</f>
        <v>0</v>
      </c>
      <c r="U24" s="24" t="s">
        <v>38</v>
      </c>
      <c r="V24" s="24"/>
    </row>
    <row r="25" spans="1:22" ht="29.1">
      <c r="B25" s="6" t="s">
        <v>246</v>
      </c>
      <c r="C25" s="7" t="s">
        <v>247</v>
      </c>
      <c r="D25" s="7" t="s">
        <v>171</v>
      </c>
      <c r="E25" s="7" t="s">
        <v>248</v>
      </c>
      <c r="F25" s="7" t="s">
        <v>27</v>
      </c>
      <c r="G25" s="7" t="s">
        <v>249</v>
      </c>
      <c r="H25" s="8" t="s">
        <v>250</v>
      </c>
      <c r="I25" s="8" t="s">
        <v>251</v>
      </c>
      <c r="J25" s="8" t="s">
        <v>31</v>
      </c>
      <c r="K25" s="8" t="s">
        <v>33</v>
      </c>
      <c r="L25" s="8" t="s">
        <v>33</v>
      </c>
      <c r="M25" s="8" t="s">
        <v>176</v>
      </c>
      <c r="N25" s="8" t="s">
        <v>177</v>
      </c>
      <c r="O25" s="8" t="s">
        <v>252</v>
      </c>
      <c r="Q25" s="24">
        <v>0.2</v>
      </c>
      <c r="R25" s="24">
        <f>0.5*7</f>
        <v>3.5</v>
      </c>
      <c r="S25" s="29">
        <v>0.95</v>
      </c>
      <c r="T25" s="24">
        <f>Table1[[#This Row],[How much time does it take today ( in hours)
 A]]*Table1[[#This Row],[how many times per day
B]]*Table1[[#This Row],[How much reduction do you expect the solution to give?
C]]</f>
        <v>0.66500000000000004</v>
      </c>
      <c r="U25" s="24" t="s">
        <v>217</v>
      </c>
      <c r="V25" s="24"/>
    </row>
    <row r="26" spans="1:22" ht="43.5">
      <c r="B26" s="6" t="s">
        <v>253</v>
      </c>
      <c r="C26" s="7" t="s">
        <v>170</v>
      </c>
      <c r="D26" s="7" t="s">
        <v>171</v>
      </c>
      <c r="E26" s="7" t="s">
        <v>254</v>
      </c>
      <c r="F26" s="7" t="s">
        <v>27</v>
      </c>
      <c r="G26" s="7" t="s">
        <v>255</v>
      </c>
      <c r="H26" s="8" t="s">
        <v>256</v>
      </c>
      <c r="I26" s="8" t="s">
        <v>257</v>
      </c>
      <c r="J26" s="8" t="s">
        <v>31</v>
      </c>
      <c r="K26" s="8" t="s">
        <v>33</v>
      </c>
      <c r="L26" s="8" t="s">
        <v>33</v>
      </c>
      <c r="M26" s="8" t="s">
        <v>176</v>
      </c>
      <c r="N26" s="8" t="s">
        <v>177</v>
      </c>
      <c r="O26" s="8" t="s">
        <v>258</v>
      </c>
      <c r="Q26" s="24">
        <v>5</v>
      </c>
      <c r="R26" s="24">
        <f>1*7</f>
        <v>7</v>
      </c>
      <c r="S26" s="29">
        <v>0.5</v>
      </c>
      <c r="T26" s="24">
        <f>Table1[[#This Row],[How much time does it take today ( in hours)
 A]]*Table1[[#This Row],[how many times per day
B]]*Table1[[#This Row],[How much reduction do you expect the solution to give?
C]]</f>
        <v>17.5</v>
      </c>
      <c r="U26" s="24" t="s">
        <v>217</v>
      </c>
      <c r="V26" s="24"/>
    </row>
    <row r="27" spans="1:22" ht="43.5" hidden="1">
      <c r="B27" s="9" t="s">
        <v>259</v>
      </c>
      <c r="C27" s="10" t="s">
        <v>187</v>
      </c>
      <c r="D27" s="10" t="s">
        <v>171</v>
      </c>
      <c r="E27" s="10" t="s">
        <v>260</v>
      </c>
      <c r="F27" s="10" t="s">
        <v>27</v>
      </c>
      <c r="G27" s="10" t="s">
        <v>261</v>
      </c>
      <c r="H27" s="11" t="s">
        <v>262</v>
      </c>
      <c r="I27" s="11" t="s">
        <v>263</v>
      </c>
      <c r="J27" s="11" t="s">
        <v>33</v>
      </c>
      <c r="K27" s="11" t="s">
        <v>192</v>
      </c>
      <c r="L27" s="11" t="s">
        <v>31</v>
      </c>
      <c r="M27" s="11" t="s">
        <v>184</v>
      </c>
      <c r="N27" s="11" t="s">
        <v>177</v>
      </c>
      <c r="O27" s="11" t="s">
        <v>264</v>
      </c>
      <c r="Q27" s="24"/>
      <c r="T27" s="24">
        <f>Table1[[#This Row],[How much time does it take today ( in hours)
 A]]*Table1[[#This Row],[how many times per day
B]]*Table1[[#This Row],[How much reduction do you expect the solution to give?
C]]</f>
        <v>0</v>
      </c>
      <c r="U27" s="24" t="s">
        <v>38</v>
      </c>
      <c r="V27" s="24"/>
    </row>
    <row r="28" spans="1:22" ht="43.5" hidden="1">
      <c r="A28" s="17"/>
      <c r="B28" s="15" t="s">
        <v>265</v>
      </c>
      <c r="C28" s="15" t="s">
        <v>196</v>
      </c>
      <c r="D28" s="15" t="s">
        <v>171</v>
      </c>
      <c r="E28" s="15" t="s">
        <v>266</v>
      </c>
      <c r="F28" s="15" t="s">
        <v>44</v>
      </c>
      <c r="G28" s="15" t="s">
        <v>267</v>
      </c>
      <c r="H28" s="16" t="s">
        <v>268</v>
      </c>
      <c r="I28" s="16" t="s">
        <v>269</v>
      </c>
      <c r="J28" s="18" t="s">
        <v>31</v>
      </c>
      <c r="K28" s="16" t="s">
        <v>33</v>
      </c>
      <c r="L28" s="16" t="s">
        <v>33</v>
      </c>
      <c r="M28" s="16" t="s">
        <v>270</v>
      </c>
      <c r="N28" s="16" t="s">
        <v>177</v>
      </c>
      <c r="O28" s="16" t="s">
        <v>271</v>
      </c>
      <c r="P28" s="14"/>
      <c r="Q28" s="24"/>
      <c r="T28" s="24">
        <f>Table1[[#This Row],[How much time does it take today ( in hours)
 A]]*Table1[[#This Row],[how many times per day
B]]*Table1[[#This Row],[How much reduction do you expect the solution to give?
C]]</f>
        <v>0</v>
      </c>
      <c r="U28" s="24" t="s">
        <v>38</v>
      </c>
      <c r="V28" s="24"/>
    </row>
    <row r="29" spans="1:22" ht="72.599999999999994">
      <c r="A29" s="12"/>
      <c r="B29" s="13" t="s">
        <v>272</v>
      </c>
      <c r="C29" s="12" t="s">
        <v>273</v>
      </c>
      <c r="D29" s="12" t="s">
        <v>274</v>
      </c>
      <c r="E29" s="12" t="s">
        <v>275</v>
      </c>
      <c r="F29" s="12" t="s">
        <v>44</v>
      </c>
      <c r="G29" s="13" t="s">
        <v>276</v>
      </c>
      <c r="H29" s="13" t="s">
        <v>277</v>
      </c>
      <c r="I29" s="13" t="s">
        <v>278</v>
      </c>
      <c r="J29" s="12" t="s">
        <v>33</v>
      </c>
      <c r="K29" s="12" t="s">
        <v>33</v>
      </c>
      <c r="L29" s="12" t="s">
        <v>33</v>
      </c>
      <c r="M29" s="12" t="s">
        <v>184</v>
      </c>
      <c r="N29" s="12" t="s">
        <v>177</v>
      </c>
      <c r="O29" s="12" t="s">
        <v>279</v>
      </c>
      <c r="P29" s="12"/>
      <c r="Q29" s="24">
        <v>0.25</v>
      </c>
      <c r="R29" s="24">
        <v>20</v>
      </c>
      <c r="S29" s="29">
        <v>0.75</v>
      </c>
      <c r="T29" s="24">
        <f>Table1[[#This Row],[How much time does it take today ( in hours)
 A]]*Table1[[#This Row],[how many times per day
B]]*Table1[[#This Row],[How much reduction do you expect the solution to give?
C]]</f>
        <v>3.75</v>
      </c>
      <c r="U29" s="24"/>
      <c r="V29" s="24"/>
    </row>
    <row r="30" spans="1:22" ht="72.599999999999994">
      <c r="B30" s="21" t="s">
        <v>280</v>
      </c>
      <c r="C30" s="21" t="s">
        <v>281</v>
      </c>
      <c r="D30" s="12" t="s">
        <v>274</v>
      </c>
      <c r="E30" s="21" t="s">
        <v>282</v>
      </c>
      <c r="F30" s="21" t="s">
        <v>44</v>
      </c>
      <c r="G30" s="22" t="s">
        <v>283</v>
      </c>
      <c r="H30" s="23" t="s">
        <v>284</v>
      </c>
      <c r="I30" s="22" t="s">
        <v>285</v>
      </c>
      <c r="J30" s="21" t="s">
        <v>31</v>
      </c>
      <c r="K30" s="21" t="s">
        <v>33</v>
      </c>
      <c r="L30" s="21" t="s">
        <v>31</v>
      </c>
      <c r="M30" s="21" t="s">
        <v>184</v>
      </c>
      <c r="N30" s="21" t="s">
        <v>177</v>
      </c>
      <c r="O30" s="22" t="s">
        <v>286</v>
      </c>
      <c r="P30" s="20"/>
      <c r="Q30" s="24">
        <v>0.8</v>
      </c>
      <c r="R30" s="24">
        <v>0.2</v>
      </c>
      <c r="S30" s="29">
        <v>0.8</v>
      </c>
      <c r="T30" s="24">
        <f>Table1[[#This Row],[How much time does it take today ( in hours)
 A]]*Table1[[#This Row],[how many times per day
B]]*Table1[[#This Row],[How much reduction do you expect the solution to give?
C]]</f>
        <v>0.12800000000000003</v>
      </c>
      <c r="U30" s="24"/>
      <c r="V30" s="24"/>
    </row>
    <row r="31" spans="1:22" ht="72.95" thickBot="1">
      <c r="A31" s="14"/>
      <c r="B31" s="14" t="s">
        <v>287</v>
      </c>
      <c r="C31" s="14" t="s">
        <v>288</v>
      </c>
      <c r="D31" s="12" t="s">
        <v>274</v>
      </c>
      <c r="E31" s="14" t="s">
        <v>289</v>
      </c>
      <c r="F31" s="14" t="s">
        <v>44</v>
      </c>
      <c r="G31" s="19" t="s">
        <v>290</v>
      </c>
      <c r="H31" s="19" t="s">
        <v>291</v>
      </c>
      <c r="I31" s="19" t="s">
        <v>292</v>
      </c>
      <c r="J31" s="14" t="s">
        <v>31</v>
      </c>
      <c r="K31" s="14" t="s">
        <v>293</v>
      </c>
      <c r="L31" s="14" t="s">
        <v>31</v>
      </c>
      <c r="M31" s="14" t="s">
        <v>184</v>
      </c>
      <c r="N31" s="14" t="s">
        <v>294</v>
      </c>
      <c r="O31" s="14" t="s">
        <v>295</v>
      </c>
      <c r="Q31" s="24">
        <v>0.5</v>
      </c>
      <c r="R31" s="24">
        <v>3</v>
      </c>
      <c r="S31" s="29">
        <v>0.8</v>
      </c>
      <c r="T31" s="24">
        <f>Table1[[#This Row],[How much time does it take today ( in hours)
 A]]*Table1[[#This Row],[how many times per day
B]]*Table1[[#This Row],[How much reduction do you expect the solution to give?
C]]</f>
        <v>1.2000000000000002</v>
      </c>
      <c r="U31" s="24"/>
      <c r="V31" s="24"/>
    </row>
    <row r="32" spans="1:22" ht="50.1" thickBot="1">
      <c r="A32" s="27" t="s">
        <v>296</v>
      </c>
      <c r="B32" s="27" t="s">
        <v>297</v>
      </c>
      <c r="C32" s="27" t="s">
        <v>298</v>
      </c>
      <c r="D32" s="27" t="s">
        <v>299</v>
      </c>
      <c r="E32" s="27" t="s">
        <v>300</v>
      </c>
      <c r="F32" s="27" t="s">
        <v>27</v>
      </c>
      <c r="G32" s="27" t="s">
        <v>301</v>
      </c>
      <c r="H32" s="27" t="s">
        <v>302</v>
      </c>
      <c r="I32" s="27" t="s">
        <v>303</v>
      </c>
      <c r="J32" s="27" t="s">
        <v>31</v>
      </c>
      <c r="K32" s="27" t="s">
        <v>32</v>
      </c>
      <c r="L32" s="27" t="s">
        <v>31</v>
      </c>
      <c r="M32" s="27" t="s">
        <v>304</v>
      </c>
      <c r="N32" s="27" t="s">
        <v>305</v>
      </c>
      <c r="O32" s="27" t="s">
        <v>306</v>
      </c>
      <c r="P32" s="27" t="s">
        <v>307</v>
      </c>
      <c r="Q32" s="31">
        <v>9</v>
      </c>
      <c r="R32" s="24">
        <f>3/40</f>
        <v>7.4999999999999997E-2</v>
      </c>
      <c r="S32" s="29">
        <v>0.7</v>
      </c>
      <c r="T32" s="24">
        <f>Table1[[#This Row],[How much time does it take today ( in hours)
 A]]*Table1[[#This Row],[how many times per day
B]]*Table1[[#This Row],[How much reduction do you expect the solution to give?
C]]</f>
        <v>0.47249999999999992</v>
      </c>
      <c r="U32" s="24" t="s">
        <v>38</v>
      </c>
      <c r="V32" s="24"/>
    </row>
    <row r="33" spans="1:22" ht="33.6" hidden="1" thickBot="1">
      <c r="A33" s="27" t="s">
        <v>308</v>
      </c>
      <c r="B33" s="27" t="s">
        <v>309</v>
      </c>
      <c r="C33" s="27" t="s">
        <v>310</v>
      </c>
      <c r="D33" s="27" t="s">
        <v>299</v>
      </c>
      <c r="E33" s="27" t="s">
        <v>311</v>
      </c>
      <c r="F33" s="27" t="s">
        <v>27</v>
      </c>
      <c r="G33" s="27" t="s">
        <v>312</v>
      </c>
      <c r="H33" s="27" t="s">
        <v>313</v>
      </c>
      <c r="I33" s="27" t="s">
        <v>314</v>
      </c>
      <c r="J33" s="27" t="s">
        <v>31</v>
      </c>
      <c r="K33" s="27" t="s">
        <v>32</v>
      </c>
      <c r="L33" s="27" t="s">
        <v>33</v>
      </c>
      <c r="M33" s="27" t="s">
        <v>315</v>
      </c>
      <c r="N33" s="27" t="s">
        <v>305</v>
      </c>
      <c r="O33" s="27" t="s">
        <v>316</v>
      </c>
      <c r="P33" s="27" t="s">
        <v>317</v>
      </c>
      <c r="Q33" s="24"/>
      <c r="T33" s="24">
        <f>Table1[[#This Row],[How much time does it take today ( in hours)
 A]]*Table1[[#This Row],[how many times per day
B]]*Table1[[#This Row],[How much reduction do you expect the solution to give?
C]]</f>
        <v>0</v>
      </c>
      <c r="U33" s="24"/>
      <c r="V33" s="24"/>
    </row>
    <row r="34" spans="1:22" ht="33.6" hidden="1" thickBot="1">
      <c r="A34" s="27" t="s">
        <v>318</v>
      </c>
      <c r="B34" s="27" t="s">
        <v>319</v>
      </c>
      <c r="C34" s="27" t="s">
        <v>310</v>
      </c>
      <c r="D34" s="27" t="s">
        <v>299</v>
      </c>
      <c r="E34" s="27" t="s">
        <v>320</v>
      </c>
      <c r="F34" s="27" t="s">
        <v>44</v>
      </c>
      <c r="G34" s="27" t="s">
        <v>321</v>
      </c>
      <c r="H34" s="27" t="s">
        <v>322</v>
      </c>
      <c r="I34" s="27" t="s">
        <v>323</v>
      </c>
      <c r="J34" s="27" t="s">
        <v>33</v>
      </c>
      <c r="K34" s="27" t="s">
        <v>32</v>
      </c>
      <c r="L34" s="27" t="s">
        <v>31</v>
      </c>
      <c r="M34" s="27" t="s">
        <v>324</v>
      </c>
      <c r="N34" s="27" t="s">
        <v>305</v>
      </c>
      <c r="O34" s="27" t="s">
        <v>325</v>
      </c>
      <c r="P34" s="27" t="s">
        <v>326</v>
      </c>
      <c r="Q34" s="24"/>
      <c r="T34" s="24">
        <f>Table1[[#This Row],[How much time does it take today ( in hours)
 A]]*Table1[[#This Row],[how many times per day
B]]*Table1[[#This Row],[How much reduction do you expect the solution to give?
C]]</f>
        <v>0</v>
      </c>
      <c r="U34" s="24"/>
      <c r="V34" s="24"/>
    </row>
    <row r="35" spans="1:22" ht="33.6" hidden="1" thickBot="1">
      <c r="A35" s="27" t="s">
        <v>327</v>
      </c>
      <c r="B35" s="27" t="s">
        <v>328</v>
      </c>
      <c r="C35" s="27" t="s">
        <v>329</v>
      </c>
      <c r="D35" s="27" t="s">
        <v>299</v>
      </c>
      <c r="E35" s="27" t="s">
        <v>330</v>
      </c>
      <c r="F35" s="27" t="s">
        <v>27</v>
      </c>
      <c r="G35" s="27" t="s">
        <v>331</v>
      </c>
      <c r="H35" s="27" t="s">
        <v>332</v>
      </c>
      <c r="I35" s="27" t="s">
        <v>333</v>
      </c>
      <c r="J35" s="27" t="s">
        <v>31</v>
      </c>
      <c r="K35" s="27" t="s">
        <v>32</v>
      </c>
      <c r="L35" s="27" t="s">
        <v>31</v>
      </c>
      <c r="M35" s="27" t="s">
        <v>304</v>
      </c>
      <c r="N35" s="27" t="s">
        <v>305</v>
      </c>
      <c r="O35" s="27" t="s">
        <v>334</v>
      </c>
      <c r="P35" s="27" t="s">
        <v>335</v>
      </c>
      <c r="Q35" s="24"/>
      <c r="T35" s="24">
        <f>Table1[[#This Row],[How much time does it take today ( in hours)
 A]]*Table1[[#This Row],[how many times per day
B]]*Table1[[#This Row],[How much reduction do you expect the solution to give?
C]]</f>
        <v>0</v>
      </c>
      <c r="U35" s="24"/>
      <c r="V35" s="24"/>
    </row>
    <row r="36" spans="1:22" ht="50.1" hidden="1" thickBot="1">
      <c r="A36" s="27" t="s">
        <v>336</v>
      </c>
      <c r="B36" s="27" t="s">
        <v>337</v>
      </c>
      <c r="C36" s="27" t="s">
        <v>338</v>
      </c>
      <c r="D36" s="27" t="s">
        <v>299</v>
      </c>
      <c r="E36" s="27" t="s">
        <v>339</v>
      </c>
      <c r="F36" s="27" t="s">
        <v>44</v>
      </c>
      <c r="G36" s="27" t="s">
        <v>340</v>
      </c>
      <c r="H36" s="27" t="s">
        <v>341</v>
      </c>
      <c r="I36" s="27" t="s">
        <v>342</v>
      </c>
      <c r="J36" s="27" t="s">
        <v>33</v>
      </c>
      <c r="K36" s="27" t="s">
        <v>343</v>
      </c>
      <c r="L36" s="27" t="s">
        <v>31</v>
      </c>
      <c r="M36" s="27" t="s">
        <v>344</v>
      </c>
      <c r="N36" s="27" t="s">
        <v>305</v>
      </c>
      <c r="O36" s="27" t="s">
        <v>345</v>
      </c>
      <c r="P36" s="27" t="s">
        <v>346</v>
      </c>
      <c r="Q36" s="24"/>
      <c r="T36" s="24">
        <f>Table1[[#This Row],[How much time does it take today ( in hours)
 A]]*Table1[[#This Row],[how many times per day
B]]*Table1[[#This Row],[How much reduction do you expect the solution to give?
C]]</f>
        <v>0</v>
      </c>
      <c r="U36" s="24"/>
      <c r="V36" s="24"/>
    </row>
    <row r="37" spans="1:22" ht="33.6" thickBot="1">
      <c r="A37" s="27" t="s">
        <v>347</v>
      </c>
      <c r="B37" s="27" t="s">
        <v>348</v>
      </c>
      <c r="C37" s="27" t="s">
        <v>338</v>
      </c>
      <c r="D37" s="27" t="s">
        <v>299</v>
      </c>
      <c r="E37" s="27" t="s">
        <v>349</v>
      </c>
      <c r="F37" s="27" t="s">
        <v>44</v>
      </c>
      <c r="G37" s="27" t="s">
        <v>350</v>
      </c>
      <c r="H37" s="27" t="s">
        <v>351</v>
      </c>
      <c r="I37" s="27" t="s">
        <v>352</v>
      </c>
      <c r="J37" s="27" t="s">
        <v>31</v>
      </c>
      <c r="K37" s="27" t="s">
        <v>32</v>
      </c>
      <c r="L37" s="27" t="s">
        <v>33</v>
      </c>
      <c r="M37" s="27" t="s">
        <v>353</v>
      </c>
      <c r="N37" s="27" t="s">
        <v>305</v>
      </c>
      <c r="O37" s="27" t="s">
        <v>354</v>
      </c>
      <c r="P37" s="27" t="s">
        <v>355</v>
      </c>
      <c r="Q37" s="24">
        <v>5</v>
      </c>
      <c r="R37" s="24">
        <f>12*2</f>
        <v>24</v>
      </c>
      <c r="S37" s="29">
        <v>0.5</v>
      </c>
      <c r="T37" s="24">
        <f>Table1[[#This Row],[How much time does it take today ( in hours)
 A]]*Table1[[#This Row],[how many times per day
B]]*Table1[[#This Row],[How much reduction do you expect the solution to give?
C]]</f>
        <v>60</v>
      </c>
      <c r="U37" s="24" t="s">
        <v>52</v>
      </c>
      <c r="V37" s="24" t="s">
        <v>356</v>
      </c>
    </row>
    <row r="38" spans="1:22" ht="33.6" hidden="1" thickBot="1">
      <c r="A38" s="27" t="s">
        <v>357</v>
      </c>
      <c r="B38" s="27" t="s">
        <v>202</v>
      </c>
      <c r="C38" s="27" t="s">
        <v>329</v>
      </c>
      <c r="D38" s="27" t="s">
        <v>299</v>
      </c>
      <c r="E38" s="27" t="s">
        <v>358</v>
      </c>
      <c r="F38" s="27" t="s">
        <v>27</v>
      </c>
      <c r="G38" s="27" t="s">
        <v>359</v>
      </c>
      <c r="H38" s="27" t="s">
        <v>360</v>
      </c>
      <c r="I38" s="27" t="s">
        <v>361</v>
      </c>
      <c r="J38" s="27" t="s">
        <v>33</v>
      </c>
      <c r="K38" s="27" t="s">
        <v>343</v>
      </c>
      <c r="L38" s="27" t="s">
        <v>31</v>
      </c>
      <c r="M38" s="27" t="s">
        <v>362</v>
      </c>
      <c r="N38" s="27" t="s">
        <v>305</v>
      </c>
      <c r="O38" s="27" t="s">
        <v>363</v>
      </c>
      <c r="P38" s="27" t="s">
        <v>364</v>
      </c>
      <c r="Q38" s="24"/>
      <c r="T38" s="24">
        <f>Table1[[#This Row],[How much time does it take today ( in hours)
 A]]*Table1[[#This Row],[how many times per day
B]]*Table1[[#This Row],[How much reduction do you expect the solution to give?
C]]</f>
        <v>0</v>
      </c>
      <c r="U38" s="24"/>
      <c r="V38" s="24"/>
    </row>
    <row r="39" spans="1:22" ht="33.6" hidden="1" thickBot="1">
      <c r="A39" s="27" t="s">
        <v>365</v>
      </c>
      <c r="B39" s="27" t="s">
        <v>366</v>
      </c>
      <c r="C39" s="27" t="s">
        <v>367</v>
      </c>
      <c r="D39" s="27" t="s">
        <v>299</v>
      </c>
      <c r="E39" s="27" t="s">
        <v>368</v>
      </c>
      <c r="F39" s="27" t="s">
        <v>27</v>
      </c>
      <c r="G39" s="27" t="s">
        <v>369</v>
      </c>
      <c r="H39" s="27" t="s">
        <v>370</v>
      </c>
      <c r="I39" s="27" t="s">
        <v>371</v>
      </c>
      <c r="J39" s="27" t="s">
        <v>31</v>
      </c>
      <c r="K39" s="27" t="s">
        <v>48</v>
      </c>
      <c r="L39" s="27" t="s">
        <v>33</v>
      </c>
      <c r="M39" s="27" t="s">
        <v>372</v>
      </c>
      <c r="N39" s="27" t="s">
        <v>305</v>
      </c>
      <c r="O39" s="27" t="s">
        <v>373</v>
      </c>
      <c r="P39" s="27" t="s">
        <v>374</v>
      </c>
      <c r="Q39" s="24"/>
      <c r="T39" s="24">
        <f>Table1[[#This Row],[How much time does it take today ( in hours)
 A]]*Table1[[#This Row],[how many times per day
B]]*Table1[[#This Row],[How much reduction do you expect the solution to give?
C]]</f>
        <v>0</v>
      </c>
      <c r="U39" s="24"/>
      <c r="V39" s="24"/>
    </row>
    <row r="40" spans="1:22" ht="33.6" hidden="1" thickBot="1">
      <c r="A40" s="27" t="s">
        <v>375</v>
      </c>
      <c r="B40" s="27" t="s">
        <v>376</v>
      </c>
      <c r="C40" s="27" t="s">
        <v>377</v>
      </c>
      <c r="D40" s="27" t="s">
        <v>299</v>
      </c>
      <c r="E40" s="27" t="s">
        <v>378</v>
      </c>
      <c r="F40" s="27" t="s">
        <v>27</v>
      </c>
      <c r="G40" s="27" t="s">
        <v>379</v>
      </c>
      <c r="H40" s="27" t="s">
        <v>380</v>
      </c>
      <c r="I40" s="27" t="s">
        <v>381</v>
      </c>
      <c r="J40" s="27" t="s">
        <v>33</v>
      </c>
      <c r="K40" s="27" t="s">
        <v>343</v>
      </c>
      <c r="L40" s="27" t="s">
        <v>31</v>
      </c>
      <c r="M40" s="27" t="s">
        <v>382</v>
      </c>
      <c r="N40" s="27" t="s">
        <v>305</v>
      </c>
      <c r="O40" s="27" t="s">
        <v>383</v>
      </c>
      <c r="P40" s="27" t="s">
        <v>384</v>
      </c>
      <c r="Q40" s="24"/>
      <c r="T40" s="24">
        <f>Table1[[#This Row],[How much time does it take today ( in hours)
 A]]*Table1[[#This Row],[how many times per day
B]]*Table1[[#This Row],[How much reduction do you expect the solution to give?
C]]</f>
        <v>0</v>
      </c>
      <c r="U40" s="24"/>
      <c r="V40" s="24"/>
    </row>
    <row r="41" spans="1:22" ht="33.6" thickBot="1">
      <c r="A41" s="27" t="s">
        <v>385</v>
      </c>
      <c r="B41" s="27" t="s">
        <v>386</v>
      </c>
      <c r="C41" s="27" t="s">
        <v>387</v>
      </c>
      <c r="D41" s="27" t="s">
        <v>299</v>
      </c>
      <c r="E41" s="27" t="s">
        <v>388</v>
      </c>
      <c r="F41" s="27" t="s">
        <v>27</v>
      </c>
      <c r="G41" s="27" t="s">
        <v>389</v>
      </c>
      <c r="H41" s="27" t="s">
        <v>390</v>
      </c>
      <c r="I41" s="27" t="s">
        <v>391</v>
      </c>
      <c r="J41" s="27" t="s">
        <v>31</v>
      </c>
      <c r="K41" s="27" t="s">
        <v>32</v>
      </c>
      <c r="L41" s="27" t="s">
        <v>33</v>
      </c>
      <c r="M41" s="27" t="s">
        <v>392</v>
      </c>
      <c r="N41" s="27" t="s">
        <v>305</v>
      </c>
      <c r="O41" s="27" t="s">
        <v>393</v>
      </c>
      <c r="P41" s="27" t="s">
        <v>394</v>
      </c>
      <c r="Q41" s="24">
        <v>2</v>
      </c>
      <c r="R41" s="24">
        <f>(3/5)*12</f>
        <v>7.1999999999999993</v>
      </c>
      <c r="S41" s="29">
        <v>0.75</v>
      </c>
      <c r="T41" s="24">
        <f>Table1[[#This Row],[How much time does it take today ( in hours)
 A]]*Table1[[#This Row],[how many times per day
B]]*Table1[[#This Row],[How much reduction do you expect the solution to give?
C]]</f>
        <v>10.799999999999999</v>
      </c>
      <c r="U41" s="24" t="s">
        <v>395</v>
      </c>
      <c r="V41" s="24"/>
    </row>
    <row r="42" spans="1:22" ht="33.6" hidden="1" thickBot="1">
      <c r="A42" s="27" t="s">
        <v>396</v>
      </c>
      <c r="B42" s="27" t="s">
        <v>397</v>
      </c>
      <c r="C42" s="27" t="s">
        <v>329</v>
      </c>
      <c r="D42" s="27" t="s">
        <v>299</v>
      </c>
      <c r="E42" s="27" t="s">
        <v>398</v>
      </c>
      <c r="F42" s="27" t="s">
        <v>44</v>
      </c>
      <c r="G42" s="27" t="s">
        <v>399</v>
      </c>
      <c r="H42" s="27" t="s">
        <v>400</v>
      </c>
      <c r="I42" s="27" t="s">
        <v>401</v>
      </c>
      <c r="J42" s="27" t="s">
        <v>33</v>
      </c>
      <c r="K42" s="27" t="s">
        <v>343</v>
      </c>
      <c r="L42" s="27" t="s">
        <v>31</v>
      </c>
      <c r="M42" s="27" t="s">
        <v>402</v>
      </c>
      <c r="N42" s="27" t="s">
        <v>305</v>
      </c>
      <c r="O42" s="27" t="s">
        <v>403</v>
      </c>
      <c r="P42" s="27" t="s">
        <v>346</v>
      </c>
      <c r="Q42" s="24"/>
      <c r="T42" s="24">
        <f>Table1[[#This Row],[How much time does it take today ( in hours)
 A]]*Table1[[#This Row],[how many times per day
B]]*Table1[[#This Row],[How much reduction do you expect the solution to give?
C]]</f>
        <v>0</v>
      </c>
      <c r="U42" s="24"/>
      <c r="V42" s="24"/>
    </row>
    <row r="43" spans="1:22" ht="33.6" hidden="1" thickBot="1">
      <c r="A43" s="27" t="s">
        <v>404</v>
      </c>
      <c r="B43" s="27" t="s">
        <v>405</v>
      </c>
      <c r="C43" s="27" t="s">
        <v>406</v>
      </c>
      <c r="D43" s="27" t="s">
        <v>299</v>
      </c>
      <c r="E43" s="27" t="s">
        <v>407</v>
      </c>
      <c r="F43" s="27" t="s">
        <v>44</v>
      </c>
      <c r="G43" s="27" t="s">
        <v>408</v>
      </c>
      <c r="H43" s="27" t="s">
        <v>409</v>
      </c>
      <c r="I43" s="27" t="s">
        <v>410</v>
      </c>
      <c r="J43" s="27" t="s">
        <v>31</v>
      </c>
      <c r="K43" s="27" t="s">
        <v>48</v>
      </c>
      <c r="L43" s="27" t="s">
        <v>33</v>
      </c>
      <c r="M43" s="27" t="s">
        <v>411</v>
      </c>
      <c r="N43" s="27" t="s">
        <v>305</v>
      </c>
      <c r="O43" s="27" t="s">
        <v>412</v>
      </c>
      <c r="P43" s="27" t="s">
        <v>413</v>
      </c>
      <c r="Q43" s="24"/>
      <c r="T43" s="24">
        <f>Table1[[#This Row],[How much time does it take today ( in hours)
 A]]*Table1[[#This Row],[how many times per day
B]]*Table1[[#This Row],[How much reduction do you expect the solution to give?
C]]</f>
        <v>0</v>
      </c>
      <c r="U43" s="24"/>
      <c r="V43" s="24"/>
    </row>
    <row r="44" spans="1:22" ht="33.6" hidden="1" thickBot="1">
      <c r="A44" s="27" t="s">
        <v>414</v>
      </c>
      <c r="B44" s="27" t="s">
        <v>415</v>
      </c>
      <c r="C44" s="27" t="s">
        <v>387</v>
      </c>
      <c r="D44" s="27" t="s">
        <v>299</v>
      </c>
      <c r="E44" s="27" t="s">
        <v>416</v>
      </c>
      <c r="F44" s="27" t="s">
        <v>27</v>
      </c>
      <c r="G44" s="27" t="s">
        <v>417</v>
      </c>
      <c r="H44" s="27" t="s">
        <v>418</v>
      </c>
      <c r="I44" s="27" t="s">
        <v>419</v>
      </c>
      <c r="J44" s="27" t="s">
        <v>31</v>
      </c>
      <c r="K44" s="27" t="s">
        <v>32</v>
      </c>
      <c r="L44" s="27" t="s">
        <v>31</v>
      </c>
      <c r="M44" s="27" t="s">
        <v>420</v>
      </c>
      <c r="N44" s="27" t="s">
        <v>305</v>
      </c>
      <c r="O44" s="27" t="s">
        <v>421</v>
      </c>
      <c r="P44" s="27" t="s">
        <v>422</v>
      </c>
      <c r="Q44" s="24"/>
      <c r="T44" s="24">
        <f>Table1[[#This Row],[How much time does it take today ( in hours)
 A]]*Table1[[#This Row],[how many times per day
B]]*Table1[[#This Row],[How much reduction do you expect the solution to give?
C]]</f>
        <v>0</v>
      </c>
      <c r="U44" s="24"/>
      <c r="V44" s="24"/>
    </row>
    <row r="45" spans="1:22" ht="33.6" hidden="1" thickBot="1">
      <c r="A45" s="27" t="s">
        <v>423</v>
      </c>
      <c r="B45" s="27" t="s">
        <v>424</v>
      </c>
      <c r="C45" s="27" t="s">
        <v>387</v>
      </c>
      <c r="D45" s="27" t="s">
        <v>299</v>
      </c>
      <c r="E45" s="27" t="s">
        <v>425</v>
      </c>
      <c r="F45" s="27" t="s">
        <v>44</v>
      </c>
      <c r="G45" s="27" t="s">
        <v>426</v>
      </c>
      <c r="H45" s="27" t="s">
        <v>427</v>
      </c>
      <c r="I45" s="27" t="s">
        <v>428</v>
      </c>
      <c r="J45" s="27" t="s">
        <v>31</v>
      </c>
      <c r="K45" s="27" t="s">
        <v>32</v>
      </c>
      <c r="L45" s="27" t="s">
        <v>33</v>
      </c>
      <c r="M45" s="27" t="s">
        <v>429</v>
      </c>
      <c r="N45" s="27" t="s">
        <v>305</v>
      </c>
      <c r="O45" s="27" t="s">
        <v>430</v>
      </c>
      <c r="P45" s="27" t="s">
        <v>431</v>
      </c>
      <c r="Q45" s="24"/>
      <c r="T45" s="24">
        <f>Table1[[#This Row],[How much time does it take today ( in hours)
 A]]*Table1[[#This Row],[how many times per day
B]]*Table1[[#This Row],[How much reduction do you expect the solution to give?
C]]</f>
        <v>0</v>
      </c>
      <c r="U45" s="24"/>
      <c r="V45" s="24"/>
    </row>
    <row r="46" spans="1:22" ht="33.6" thickBot="1">
      <c r="A46" s="27" t="s">
        <v>432</v>
      </c>
      <c r="B46" s="27" t="s">
        <v>433</v>
      </c>
      <c r="C46" s="27" t="s">
        <v>310</v>
      </c>
      <c r="D46" s="27" t="s">
        <v>299</v>
      </c>
      <c r="E46" s="27" t="s">
        <v>434</v>
      </c>
      <c r="F46" s="27" t="s">
        <v>27</v>
      </c>
      <c r="G46" s="27" t="s">
        <v>435</v>
      </c>
      <c r="H46" s="27" t="s">
        <v>436</v>
      </c>
      <c r="I46" s="27" t="s">
        <v>437</v>
      </c>
      <c r="J46" s="27" t="s">
        <v>31</v>
      </c>
      <c r="K46" s="27" t="s">
        <v>32</v>
      </c>
      <c r="L46" s="27" t="s">
        <v>33</v>
      </c>
      <c r="M46" s="27" t="s">
        <v>438</v>
      </c>
      <c r="N46" s="27" t="s">
        <v>305</v>
      </c>
      <c r="O46" s="27" t="s">
        <v>439</v>
      </c>
      <c r="P46" s="27" t="s">
        <v>440</v>
      </c>
      <c r="Q46" s="24">
        <v>4</v>
      </c>
      <c r="R46" s="24">
        <f>4*3</f>
        <v>12</v>
      </c>
      <c r="S46" s="29">
        <v>1</v>
      </c>
      <c r="T46" s="24">
        <f>Table1[[#This Row],[How much time does it take today ( in hours)
 A]]*Table1[[#This Row],[how many times per day
B]]*Table1[[#This Row],[How much reduction do you expect the solution to give?
C]]</f>
        <v>48</v>
      </c>
      <c r="U46" s="24" t="s">
        <v>217</v>
      </c>
      <c r="V46" s="24" t="s">
        <v>441</v>
      </c>
    </row>
  </sheetData>
  <dataValidations count="1">
    <dataValidation type="list" allowBlank="1" showInputMessage="1" showErrorMessage="1" sqref="S57:S84" xr:uid="{841AFF9B-5D9F-4168-B571-2FEEE408311C}">
      <formula1>"80%,60-80%,40-60%,20-40%,&lt;20%"</formula1>
    </dataValidation>
  </dataValidations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F10F6D6088AE4E98A8C116ED4E50DC" ma:contentTypeVersion="3" ma:contentTypeDescription="Create a new document." ma:contentTypeScope="" ma:versionID="c74b88e9d14c59473c8a05b64e62cce9">
  <xsd:schema xmlns:xsd="http://www.w3.org/2001/XMLSchema" xmlns:xs="http://www.w3.org/2001/XMLSchema" xmlns:p="http://schemas.microsoft.com/office/2006/metadata/properties" xmlns:ns2="1ef62a11-6cc4-43a4-94e9-10679975a2a0" targetNamespace="http://schemas.microsoft.com/office/2006/metadata/properties" ma:root="true" ma:fieldsID="d2fff16995bef57fca48bbd829493717" ns2:_="">
    <xsd:import namespace="1ef62a11-6cc4-43a4-94e9-10679975a2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62a11-6cc4-43a4-94e9-10679975a2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D84E42-BD45-4F31-9526-56DE8124DEE2}"/>
</file>

<file path=customXml/itemProps2.xml><?xml version="1.0" encoding="utf-8"?>
<ds:datastoreItem xmlns:ds="http://schemas.openxmlformats.org/officeDocument/2006/customXml" ds:itemID="{82903D53-5BCC-4A3D-A885-8A12307F600E}"/>
</file>

<file path=customXml/itemProps3.xml><?xml version="1.0" encoding="utf-8"?>
<ds:datastoreItem xmlns:ds="http://schemas.openxmlformats.org/officeDocument/2006/customXml" ds:itemID="{6496D0AE-D115-414F-BECD-6806F75CC8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HCL Technologies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Gulab Shaikh</dc:creator>
  <cp:keywords>HCLClassification=Internal</cp:keywords>
  <dc:description/>
  <cp:lastModifiedBy>Prajakta Shital Magdum</cp:lastModifiedBy>
  <cp:revision/>
  <dcterms:created xsi:type="dcterms:W3CDTF">2026-05-19T13:45:19Z</dcterms:created>
  <dcterms:modified xsi:type="dcterms:W3CDTF">2026-06-03T10:55:09Z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a614138b-5460-49f9-a26f-80cf5f96ccc7</vt:lpwstr>
  </property>
  <property fmtid="{D5CDD505-2E9C-101B-9397-08002B2CF9AE}" pid="3" name="MSIP_Label_556dfe78-8a37-4fb5-b4aa-b92b97e18d15_Enabled">
    <vt:lpwstr>true</vt:lpwstr>
  </property>
  <property fmtid="{D5CDD505-2E9C-101B-9397-08002B2CF9AE}" pid="4" name="MSIP_Label_556dfe78-8a37-4fb5-b4aa-b92b97e18d15_SetDate">
    <vt:lpwstr>2026-05-19T13:45:54Z</vt:lpwstr>
  </property>
  <property fmtid="{D5CDD505-2E9C-101B-9397-08002B2CF9AE}" pid="5" name="MSIP_Label_556dfe78-8a37-4fb5-b4aa-b92b97e18d15_Method">
    <vt:lpwstr>Standard</vt:lpwstr>
  </property>
  <property fmtid="{D5CDD505-2E9C-101B-9397-08002B2CF9AE}" pid="6" name="MSIP_Label_556dfe78-8a37-4fb5-b4aa-b92b97e18d15_Name">
    <vt:lpwstr>Internal</vt:lpwstr>
  </property>
  <property fmtid="{D5CDD505-2E9C-101B-9397-08002B2CF9AE}" pid="7" name="MSIP_Label_556dfe78-8a37-4fb5-b4aa-b92b97e18d15_SiteId">
    <vt:lpwstr>189de737-c93a-4f5a-8b68-6f4ca9941912</vt:lpwstr>
  </property>
  <property fmtid="{D5CDD505-2E9C-101B-9397-08002B2CF9AE}" pid="8" name="MSIP_Label_556dfe78-8a37-4fb5-b4aa-b92b97e18d15_ActionId">
    <vt:lpwstr>742eea88-54d8-45bf-8d7c-3ca63e6512b6</vt:lpwstr>
  </property>
  <property fmtid="{D5CDD505-2E9C-101B-9397-08002B2CF9AE}" pid="9" name="MSIP_Label_556dfe78-8a37-4fb5-b4aa-b92b97e18d15_ContentBits">
    <vt:lpwstr>1</vt:lpwstr>
  </property>
  <property fmtid="{D5CDD505-2E9C-101B-9397-08002B2CF9AE}" pid="10" name="MSIP_Label_556dfe78-8a37-4fb5-b4aa-b92b97e18d15_Tag">
    <vt:lpwstr>10, 3, 0, 1</vt:lpwstr>
  </property>
  <property fmtid="{D5CDD505-2E9C-101B-9397-08002B2CF9AE}" pid="11" name="ContentTypeId">
    <vt:lpwstr>0x010100B1F10F6D6088AE4E98A8C116ED4E50DC</vt:lpwstr>
  </property>
  <property fmtid="{D5CDD505-2E9C-101B-9397-08002B2CF9AE}" pid="12" name="MediaServiceImageTags">
    <vt:lpwstr/>
  </property>
  <property fmtid="{D5CDD505-2E9C-101B-9397-08002B2CF9AE}" pid="13" name="HCLClassD6">
    <vt:lpwstr>False</vt:lpwstr>
  </property>
  <property fmtid="{D5CDD505-2E9C-101B-9397-08002B2CF9AE}" pid="14" name="HCLClassification">
    <vt:lpwstr>HCL_Cla5s_1nt3rnal</vt:lpwstr>
  </property>
</Properties>
</file>